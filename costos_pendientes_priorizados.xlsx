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pendientes" sheetId="1" state="visible" r:id="rId1"/>
  </sheets>
  <definedNames>
    <definedName name="_xlnm._FilterDatabase" localSheetId="0" hidden="1">'Costos pendientes'!$A$1:$M$956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4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3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24" customWidth="1" min="4" max="4"/>
    <col width="22" customWidth="1" min="5" max="5"/>
    <col width="22" customWidth="1" min="6" max="6"/>
    <col width="14" customWidth="1" min="7" max="7"/>
    <col width="9" customWidth="1" min="8" max="8"/>
    <col width="8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 ht="30" customHeight="1">
      <c r="A1" s="1" t="inlineStr">
        <is>
          <t>#</t>
        </is>
      </c>
      <c r="B1" s="1" t="inlineStr">
        <is>
          <t>SKU</t>
        </is>
      </c>
      <c r="C1" s="1" t="inlineStr">
        <is>
          <t>Producto</t>
        </is>
      </c>
      <c r="D1" s="1" t="inlineStr">
        <is>
          <t>Depto</t>
        </is>
      </c>
      <c r="E1" s="1" t="inlineStr">
        <is>
          <t>Categoría</t>
        </is>
      </c>
      <c r="F1" s="1" t="inlineStr">
        <is>
          <t>Subcategoría</t>
        </is>
      </c>
      <c r="G1" s="1" t="inlineStr">
        <is>
          <t>Ventas 90d (S/)</t>
        </is>
      </c>
      <c r="H1" s="1" t="inlineStr">
        <is>
          <t>Unds 90d</t>
        </is>
      </c>
      <c r="I1" s="1" t="inlineStr">
        <is>
          <t>Tickets</t>
        </is>
      </c>
      <c r="J1" s="1" t="inlineStr">
        <is>
          <t>Últ. venta</t>
        </is>
      </c>
      <c r="K1" s="1" t="inlineStr">
        <is>
          <t>Precio prom</t>
        </is>
      </c>
      <c r="L1" s="1" t="inlineStr">
        <is>
          <t>Costo (a cargar)</t>
        </is>
      </c>
      <c r="M1" s="1" t="inlineStr">
        <is>
          <t>Margen estimado %</t>
        </is>
      </c>
    </row>
    <row r="2">
      <c r="A2" s="2" t="n">
        <v>1</v>
      </c>
      <c r="B2" s="2" t="inlineStr">
        <is>
          <t>57996</t>
        </is>
      </c>
      <c r="C2" s="2" t="inlineStr">
        <is>
          <t>CUAD SCOOL S/88H CUADRICULADO ALPHA</t>
        </is>
      </c>
      <c r="D2" s="2" t="inlineStr">
        <is>
          <t>Librería y Oficina</t>
        </is>
      </c>
      <c r="E2" s="2" t="inlineStr">
        <is>
          <t>Útiles Escolares</t>
        </is>
      </c>
      <c r="F2" s="2" t="inlineStr">
        <is>
          <t>Cuadernos y Blocks</t>
        </is>
      </c>
      <c r="G2" s="3" t="n">
        <v>13363.5</v>
      </c>
      <c r="H2" s="4" t="n">
        <v>2729</v>
      </c>
      <c r="I2" s="2" t="n">
        <v>611</v>
      </c>
      <c r="J2" s="5" t="n">
        <v>46145</v>
      </c>
      <c r="K2" s="3" t="n">
        <v>4.9</v>
      </c>
      <c r="L2" s="6" t="inlineStr"/>
      <c r="M2" s="7">
        <f>IF(L2&gt;0,(K2-L2)/K2*100,"")</f>
        <v/>
      </c>
    </row>
    <row r="3">
      <c r="A3" t="n">
        <v>2</v>
      </c>
      <c r="B3" t="inlineStr">
        <is>
          <t>JUS-03</t>
        </is>
      </c>
      <c r="C3" t="inlineStr">
        <is>
          <t>CUADERNNO JUSTUS CUADRICULADO</t>
        </is>
      </c>
      <c r="D3" t="inlineStr">
        <is>
          <t>Librería y Oficina</t>
        </is>
      </c>
      <c r="E3" t="inlineStr">
        <is>
          <t>Útiles Escolares</t>
        </is>
      </c>
      <c r="F3" t="inlineStr">
        <is>
          <t>Cuadernos y Blocks</t>
        </is>
      </c>
      <c r="G3" s="8" t="n">
        <v>9004.41</v>
      </c>
      <c r="H3" s="9" t="n">
        <v>2312</v>
      </c>
      <c r="I3" t="n">
        <v>394</v>
      </c>
      <c r="J3" s="10" t="n">
        <v>46106</v>
      </c>
      <c r="K3" s="8" t="n">
        <v>3.9</v>
      </c>
      <c r="L3" s="6" t="inlineStr"/>
      <c r="M3" s="7">
        <f>IF(L3&gt;0,(K3-L3)/K3*100,"")</f>
        <v/>
      </c>
    </row>
    <row r="4">
      <c r="A4" s="2" t="n">
        <v>3</v>
      </c>
      <c r="B4" s="2" t="inlineStr">
        <is>
          <t>250152798</t>
        </is>
      </c>
      <c r="C4" s="2" t="inlineStr">
        <is>
          <t>Cuaderno Justus Deluxe T/A4 80H Cuadriculado Solido</t>
        </is>
      </c>
      <c r="D4" s="2" t="inlineStr">
        <is>
          <t>Librería y Oficina</t>
        </is>
      </c>
      <c r="E4" s="2" t="inlineStr">
        <is>
          <t>Útiles Escolares</t>
        </is>
      </c>
      <c r="F4" s="2" t="inlineStr">
        <is>
          <t>Cuadernos y Blocks</t>
        </is>
      </c>
      <c r="G4" s="3" t="n">
        <v>7319</v>
      </c>
      <c r="H4" s="4" t="n">
        <v>1878</v>
      </c>
      <c r="I4" s="2" t="n">
        <v>347</v>
      </c>
      <c r="J4" s="5" t="n">
        <v>46150</v>
      </c>
      <c r="K4" s="3" t="n">
        <v>3.9</v>
      </c>
      <c r="L4" s="6" t="inlineStr"/>
      <c r="M4" s="7">
        <f>IF(L4&gt;0,(K4-L4)/K4*100,"")</f>
        <v/>
      </c>
    </row>
    <row r="5">
      <c r="A5" t="n">
        <v>4</v>
      </c>
      <c r="B5" t="inlineStr">
        <is>
          <t>875259</t>
        </is>
      </c>
      <c r="C5" t="inlineStr">
        <is>
          <t>PAPEL FOTOC MILLENIUM 75GR A-4 PQTX500</t>
        </is>
      </c>
      <c r="D5" t="inlineStr">
        <is>
          <t>Librería y Oficina</t>
        </is>
      </c>
      <c r="E5" t="inlineStr">
        <is>
          <t>Útiles Escolares</t>
        </is>
      </c>
      <c r="F5" t="inlineStr">
        <is>
          <t>Papeles y Cartulinas</t>
        </is>
      </c>
      <c r="G5" s="8" t="n">
        <v>6874.45</v>
      </c>
      <c r="H5" s="9" t="n">
        <v>536</v>
      </c>
      <c r="I5" t="n">
        <v>423</v>
      </c>
      <c r="J5" s="10" t="n">
        <v>46117</v>
      </c>
      <c r="K5" s="8" t="n">
        <v>12.88</v>
      </c>
      <c r="L5" s="6" t="inlineStr"/>
      <c r="M5" s="7">
        <f>IF(L5&gt;0,(K5-L5)/K5*100,"")</f>
        <v/>
      </c>
    </row>
    <row r="6">
      <c r="A6" s="2" t="n">
        <v>5</v>
      </c>
      <c r="B6" s="2" t="inlineStr">
        <is>
          <t>OX-PA4</t>
        </is>
      </c>
      <c r="C6" s="2" t="inlineStr">
        <is>
          <t>Oxford paper A4</t>
        </is>
      </c>
      <c r="D6" s="2" t="inlineStr">
        <is>
          <t>Librería y Oficina</t>
        </is>
      </c>
      <c r="E6" s="2" t="inlineStr">
        <is>
          <t>Útiles Escolares</t>
        </is>
      </c>
      <c r="F6" s="2" t="inlineStr">
        <is>
          <t>Papeles y Cartulinas</t>
        </is>
      </c>
      <c r="G6" s="3" t="n">
        <v>6621.05</v>
      </c>
      <c r="H6" s="4" t="n">
        <v>518</v>
      </c>
      <c r="I6" s="2" t="n">
        <v>329</v>
      </c>
      <c r="J6" s="5" t="n">
        <v>46170</v>
      </c>
      <c r="K6" s="3" t="n">
        <v>12.88</v>
      </c>
      <c r="L6" s="6" t="inlineStr"/>
      <c r="M6" s="7">
        <f>IF(L6&gt;0,(K6-L6)/K6*100,"")</f>
        <v/>
      </c>
    </row>
    <row r="7">
      <c r="A7" t="n">
        <v>6</v>
      </c>
      <c r="B7" t="inlineStr">
        <is>
          <t>60301</t>
        </is>
      </c>
      <c r="C7" t="inlineStr">
        <is>
          <t>TOALLITA HUMEDA X100 BYWIN BASIC</t>
        </is>
      </c>
      <c r="D7" t="inlineStr">
        <is>
          <t>Cuidado Personal y Salud</t>
        </is>
      </c>
      <c r="E7" t="inlineStr">
        <is>
          <t>Toallitas Húmedas</t>
        </is>
      </c>
      <c r="F7" t="inlineStr">
        <is>
          <t>Toallitas Húmedas Básicas</t>
        </is>
      </c>
      <c r="G7" s="8" t="n">
        <v>5631.4</v>
      </c>
      <c r="H7" s="9" t="n">
        <v>1657</v>
      </c>
      <c r="I7" t="n">
        <v>1161</v>
      </c>
      <c r="J7" s="10" t="n">
        <v>46178</v>
      </c>
      <c r="K7" s="8" t="n">
        <v>3.4</v>
      </c>
      <c r="L7" s="6" t="inlineStr"/>
      <c r="M7" s="7">
        <f>IF(L7&gt;0,(K7-L7)/K7*100,"")</f>
        <v/>
      </c>
    </row>
    <row r="8">
      <c r="A8" s="2" t="n">
        <v>7</v>
      </c>
      <c r="B8" s="2" t="inlineStr">
        <is>
          <t>60888</t>
        </is>
      </c>
      <c r="C8" s="2" t="inlineStr">
        <is>
          <t>PAPEL FOTOCOPIA A-4 75G X500H</t>
        </is>
      </c>
      <c r="D8" s="2" t="inlineStr">
        <is>
          <t>Librería y Oficina</t>
        </is>
      </c>
      <c r="E8" s="2" t="inlineStr">
        <is>
          <t>Útiles Escolares</t>
        </is>
      </c>
      <c r="F8" s="2" t="inlineStr">
        <is>
          <t>Papeles y Cartulinas</t>
        </is>
      </c>
      <c r="G8" s="3" t="n">
        <v>5577.69</v>
      </c>
      <c r="H8" s="4" t="n">
        <v>472</v>
      </c>
      <c r="I8" s="2" t="n">
        <v>374</v>
      </c>
      <c r="J8" s="5" t="n">
        <v>46106</v>
      </c>
      <c r="K8" s="3" t="n">
        <v>11.88</v>
      </c>
      <c r="L8" s="6" t="inlineStr"/>
      <c r="M8" s="7">
        <f>IF(L8&gt;0,(K8-L8)/K8*100,"")</f>
        <v/>
      </c>
    </row>
    <row r="9">
      <c r="A9" t="n">
        <v>8</v>
      </c>
      <c r="B9" t="inlineStr">
        <is>
          <t>AR16326013</t>
        </is>
      </c>
      <c r="C9" t="inlineStr">
        <is>
          <t>SILICONA BARRA DELGADA BLSX71 ARTESCO (CAJONX25BLS)</t>
        </is>
      </c>
      <c r="D9" t="inlineStr">
        <is>
          <t>Librería y Oficina</t>
        </is>
      </c>
      <c r="E9" t="inlineStr">
        <is>
          <t>Útiles Escolares</t>
        </is>
      </c>
      <c r="F9" t="inlineStr">
        <is>
          <t>Pegamentos y Silicona</t>
        </is>
      </c>
      <c r="G9" s="8" t="n">
        <v>5354.06</v>
      </c>
      <c r="H9" s="9" t="n">
        <v>271</v>
      </c>
      <c r="I9" t="n">
        <v>226</v>
      </c>
      <c r="J9" s="10" t="n">
        <v>46176</v>
      </c>
      <c r="K9" s="8" t="n">
        <v>19.81</v>
      </c>
      <c r="L9" s="6" t="inlineStr"/>
      <c r="M9" s="7">
        <f>IF(L9&gt;0,(K9-L9)/K9*100,"")</f>
        <v/>
      </c>
    </row>
    <row r="10">
      <c r="A10" s="2" t="n">
        <v>9</v>
      </c>
      <c r="B10" s="2" t="inlineStr">
        <is>
          <t>16316603</t>
        </is>
      </c>
      <c r="C10" s="2" t="inlineStr">
        <is>
          <t>COLORES ARTESCO SMART LARGOS X 24 (CAJONX120)</t>
        </is>
      </c>
      <c r="D10" s="2" t="inlineStr">
        <is>
          <t>Librería y Oficina</t>
        </is>
      </c>
      <c r="E10" s="2" t="inlineStr">
        <is>
          <t>Útiles Escolares</t>
        </is>
      </c>
      <c r="F10" s="2" t="inlineStr">
        <is>
          <t>Colores y Crayolas</t>
        </is>
      </c>
      <c r="G10" s="3" t="n">
        <v>5248.79</v>
      </c>
      <c r="H10" s="4" t="n">
        <v>512</v>
      </c>
      <c r="I10" s="2" t="n">
        <v>411</v>
      </c>
      <c r="J10" s="5" t="n">
        <v>46152</v>
      </c>
      <c r="K10" s="3" t="n">
        <v>10.28</v>
      </c>
      <c r="L10" s="6" t="inlineStr"/>
      <c r="M10" s="7">
        <f>IF(L10&gt;0,(K10-L10)/K10*100,"")</f>
        <v/>
      </c>
    </row>
    <row r="11">
      <c r="A11" t="n">
        <v>10</v>
      </c>
      <c r="B11" t="inlineStr">
        <is>
          <t>FOLDER-01</t>
        </is>
      </c>
      <c r="C11" t="inlineStr">
        <is>
          <t>FOLDER ARTESCO ECONOMICO OF. SURTIDO (CIENTO)</t>
        </is>
      </c>
      <c r="D11" t="inlineStr">
        <is>
          <t>Librería y Oficina</t>
        </is>
      </c>
      <c r="E11" t="inlineStr">
        <is>
          <t>Útiles Escolares</t>
        </is>
      </c>
      <c r="F11" t="inlineStr">
        <is>
          <t>Archivadores y Folders</t>
        </is>
      </c>
      <c r="G11" s="8" t="n">
        <v>4805.57</v>
      </c>
      <c r="H11" s="9" t="n">
        <v>1332</v>
      </c>
      <c r="I11" t="n">
        <v>841</v>
      </c>
      <c r="J11" s="10" t="n">
        <v>46133</v>
      </c>
      <c r="K11" s="8" t="n">
        <v>3.63</v>
      </c>
      <c r="L11" s="6" t="inlineStr"/>
      <c r="M11" s="7">
        <f>IF(L11&gt;0,(K11-L11)/K11*100,"")</f>
        <v/>
      </c>
    </row>
    <row r="12">
      <c r="A12" s="2" t="n">
        <v>11</v>
      </c>
      <c r="B12" s="2" t="inlineStr">
        <is>
          <t>2140110610</t>
        </is>
      </c>
      <c r="C12" s="2" t="inlineStr">
        <is>
          <t>CUAD. GRAP. CUADR. 80 H. C/ MARCO ROJO LAYCONSA PUPPY</t>
        </is>
      </c>
      <c r="D12" s="2" t="inlineStr">
        <is>
          <t>Librería y Oficina</t>
        </is>
      </c>
      <c r="E12" s="2" t="inlineStr">
        <is>
          <t>Útiles Escolares</t>
        </is>
      </c>
      <c r="F12" s="2" t="inlineStr">
        <is>
          <t>Papelería Variada</t>
        </is>
      </c>
      <c r="G12" s="3" t="n">
        <v>3948.9</v>
      </c>
      <c r="H12" s="4" t="n">
        <v>817</v>
      </c>
      <c r="I12" s="2" t="n">
        <v>130</v>
      </c>
      <c r="J12" s="5" t="n">
        <v>46101</v>
      </c>
      <c r="K12" s="3" t="n">
        <v>4.89</v>
      </c>
      <c r="L12" s="6" t="inlineStr"/>
      <c r="M12" s="7">
        <f>IF(L12&gt;0,(K12-L12)/K12*100,"")</f>
        <v/>
      </c>
    </row>
    <row r="13">
      <c r="A13" t="n">
        <v>12</v>
      </c>
      <c r="B13" t="inlineStr">
        <is>
          <t>PAP-ESCOLAR</t>
        </is>
      </c>
      <c r="C13" t="inlineStr">
        <is>
          <t>PAPELOTE ESCOLAR</t>
        </is>
      </c>
      <c r="D13" t="inlineStr">
        <is>
          <t>Librería y Oficina</t>
        </is>
      </c>
      <c r="E13" t="inlineStr">
        <is>
          <t>Útiles Escolares</t>
        </is>
      </c>
      <c r="F13" t="inlineStr">
        <is>
          <t>Papeles y Cartulinas</t>
        </is>
      </c>
      <c r="G13" s="8" t="n">
        <v>3641.44</v>
      </c>
      <c r="H13" s="9" t="n">
        <v>9459</v>
      </c>
      <c r="I13" t="n">
        <v>792</v>
      </c>
      <c r="J13" s="10" t="n">
        <v>46153</v>
      </c>
      <c r="K13" s="8" t="n">
        <v>0.39</v>
      </c>
      <c r="L13" s="6" t="inlineStr"/>
      <c r="M13" s="7">
        <f>IF(L13&gt;0,(K13-L13)/K13*100,"")</f>
        <v/>
      </c>
    </row>
    <row r="14">
      <c r="A14" s="2" t="n">
        <v>13</v>
      </c>
      <c r="B14" s="2" t="inlineStr">
        <is>
          <t>FR-T4</t>
        </is>
      </c>
      <c r="C14" s="2" t="inlineStr">
        <is>
          <t>FORRO VINFAN T/A4 X 5 mts</t>
        </is>
      </c>
      <c r="D14" s="2" t="inlineStr">
        <is>
          <t>Librería y Oficina</t>
        </is>
      </c>
      <c r="E14" s="2" t="inlineStr">
        <is>
          <t>Útiles Escolares</t>
        </is>
      </c>
      <c r="F14" s="2" t="inlineStr">
        <is>
          <t>Forros para Cuadernos</t>
        </is>
      </c>
      <c r="G14" s="3" t="n">
        <v>3480.41</v>
      </c>
      <c r="H14" s="4" t="n">
        <v>549</v>
      </c>
      <c r="I14" s="2" t="n">
        <v>451</v>
      </c>
      <c r="J14" s="5" t="n">
        <v>46165</v>
      </c>
      <c r="K14" s="3" t="n">
        <v>6.36</v>
      </c>
      <c r="L14" s="6" t="inlineStr"/>
      <c r="M14" s="7">
        <f>IF(L14&gt;0,(K14-L14)/K14*100,"")</f>
        <v/>
      </c>
    </row>
    <row r="15">
      <c r="A15" t="n">
        <v>14</v>
      </c>
      <c r="B15" t="inlineStr">
        <is>
          <t>OC60595</t>
        </is>
      </c>
      <c r="C15" t="inlineStr">
        <is>
          <t>ONE CARE PASTA DENTAL CARBON ACTIVADO X 204G</t>
        </is>
      </c>
      <c r="D15" t="inlineStr">
        <is>
          <t>Cuidado Personal y Salud</t>
        </is>
      </c>
      <c r="E15" t="inlineStr">
        <is>
          <t>Cuidado Bucal</t>
        </is>
      </c>
      <c r="F15" t="inlineStr">
        <is>
          <t>Pastas Dentales</t>
        </is>
      </c>
      <c r="G15" s="8" t="n">
        <v>3369.6</v>
      </c>
      <c r="H15" s="9" t="n">
        <v>648</v>
      </c>
      <c r="I15" t="n">
        <v>581</v>
      </c>
      <c r="J15" s="10" t="n">
        <v>46178</v>
      </c>
      <c r="K15" s="8" t="n">
        <v>5.2</v>
      </c>
      <c r="L15" s="6" t="inlineStr"/>
      <c r="M15" s="7">
        <f>IF(L15&gt;0,(K15-L15)/K15*100,"")</f>
        <v/>
      </c>
    </row>
    <row r="16">
      <c r="A16" s="2" t="n">
        <v>15</v>
      </c>
      <c r="B16" s="2" t="inlineStr">
        <is>
          <t>OC60596</t>
        </is>
      </c>
      <c r="C16" s="2" t="inlineStr">
        <is>
          <t>ONE CARE PASTA DENTAL TRIPLE PROTECCION 204G</t>
        </is>
      </c>
      <c r="D16" s="2" t="inlineStr">
        <is>
          <t>Cuidado Personal y Salud</t>
        </is>
      </c>
      <c r="E16" s="2" t="inlineStr">
        <is>
          <t>Cuidado Bucal</t>
        </is>
      </c>
      <c r="F16" s="2" t="inlineStr">
        <is>
          <t>Pastas Dentales</t>
        </is>
      </c>
      <c r="G16" s="3" t="n">
        <v>3281.27</v>
      </c>
      <c r="H16" s="4" t="n">
        <v>842</v>
      </c>
      <c r="I16" s="2" t="n">
        <v>643</v>
      </c>
      <c r="J16" s="5" t="n">
        <v>46178</v>
      </c>
      <c r="K16" s="3" t="n">
        <v>3.9</v>
      </c>
      <c r="L16" s="6" t="inlineStr"/>
      <c r="M16" s="7">
        <f>IF(L16&gt;0,(K16-L16)/K16*100,"")</f>
        <v/>
      </c>
    </row>
    <row r="17">
      <c r="A17" t="n">
        <v>16</v>
      </c>
      <c r="B17" t="inlineStr">
        <is>
          <t>706926</t>
        </is>
      </c>
      <c r="C17" t="inlineStr">
        <is>
          <t>CUAD DLX 80H CUADR COS SOL PREMIUM COLLE x25</t>
        </is>
      </c>
      <c r="D17" t="inlineStr">
        <is>
          <t>Librería y Oficina</t>
        </is>
      </c>
      <c r="E17" t="inlineStr">
        <is>
          <t>Útiles Escolares</t>
        </is>
      </c>
      <c r="F17" t="inlineStr">
        <is>
          <t>Cuadernos y Blocks</t>
        </is>
      </c>
      <c r="G17" s="8" t="n">
        <v>2914.6</v>
      </c>
      <c r="H17" s="9" t="n">
        <v>494</v>
      </c>
      <c r="I17" t="n">
        <v>173</v>
      </c>
      <c r="J17" s="10" t="n">
        <v>46114</v>
      </c>
      <c r="K17" s="8" t="n">
        <v>5.9</v>
      </c>
      <c r="L17" s="6" t="inlineStr"/>
      <c r="M17" s="7">
        <f>IF(L17&gt;0,(K17-L17)/K17*100,"")</f>
        <v/>
      </c>
    </row>
    <row r="18">
      <c r="A18" s="2" t="n">
        <v>17</v>
      </c>
      <c r="B18" s="2" t="inlineStr">
        <is>
          <t>16317000</t>
        </is>
      </c>
      <c r="C18" s="2" t="inlineStr">
        <is>
          <t>LAPIZ ARTESCO GRAFITO 2B (CAJONX192DOC)</t>
        </is>
      </c>
      <c r="D18" s="2" t="inlineStr">
        <is>
          <t>Librería y Oficina</t>
        </is>
      </c>
      <c r="E18" s="2" t="inlineStr">
        <is>
          <t>Útiles Escolares</t>
        </is>
      </c>
      <c r="F18" s="2" t="inlineStr">
        <is>
          <t>Lápices y Lapiceros</t>
        </is>
      </c>
      <c r="G18" s="3" t="n">
        <v>2887.78</v>
      </c>
      <c r="H18" s="4" t="n">
        <v>575</v>
      </c>
      <c r="I18" s="2" t="n">
        <v>516</v>
      </c>
      <c r="J18" s="5" t="n">
        <v>46123</v>
      </c>
      <c r="K18" s="3" t="n">
        <v>5.03</v>
      </c>
      <c r="L18" s="6" t="inlineStr"/>
      <c r="M18" s="7">
        <f>IF(L18&gt;0,(K18-L18)/K18*100,"")</f>
        <v/>
      </c>
    </row>
    <row r="19">
      <c r="A19" t="n">
        <v>18</v>
      </c>
      <c r="B19" t="inlineStr">
        <is>
          <t>10158007</t>
        </is>
      </c>
      <c r="C19" t="inlineStr">
        <is>
          <t>ESTUCHE ARTESCO GEOMETRICO PP 30 cm ECONOMICO (CIENTO)</t>
        </is>
      </c>
      <c r="D19" t="inlineStr">
        <is>
          <t>Librería y Oficina</t>
        </is>
      </c>
      <c r="E19" t="inlineStr">
        <is>
          <t>Útiles Escolares</t>
        </is>
      </c>
      <c r="F19" t="inlineStr">
        <is>
          <t>Estuches Geométricos</t>
        </is>
      </c>
      <c r="G19" s="8" t="n">
        <v>2819.34</v>
      </c>
      <c r="H19" s="9" t="n">
        <v>728</v>
      </c>
      <c r="I19" t="n">
        <v>612</v>
      </c>
      <c r="J19" s="10" t="n">
        <v>46120</v>
      </c>
      <c r="K19" s="8" t="n">
        <v>3.89</v>
      </c>
      <c r="L19" s="6" t="inlineStr"/>
      <c r="M19" s="7">
        <f>IF(L19&gt;0,(K19-L19)/K19*100,"")</f>
        <v/>
      </c>
    </row>
    <row r="20">
      <c r="A20" s="2" t="n">
        <v>19</v>
      </c>
      <c r="B20" s="2" t="inlineStr">
        <is>
          <t>AR07062100</t>
        </is>
      </c>
      <c r="C20" s="2" t="inlineStr">
        <is>
          <t>PLUMON ARTESCO SMART 45 X 12 (CAJONX192)</t>
        </is>
      </c>
      <c r="D20" s="2" t="inlineStr">
        <is>
          <t>Librería y Oficina</t>
        </is>
      </c>
      <c r="E20" s="2" t="inlineStr">
        <is>
          <t>Útiles Escolares</t>
        </is>
      </c>
      <c r="F20" s="2" t="inlineStr">
        <is>
          <t>Plumones y Marcadores</t>
        </is>
      </c>
      <c r="G20" s="3" t="n">
        <v>2724.16</v>
      </c>
      <c r="H20" s="4" t="n">
        <v>591</v>
      </c>
      <c r="I20" s="2" t="n">
        <v>455</v>
      </c>
      <c r="J20" s="5" t="n">
        <v>46125</v>
      </c>
      <c r="K20" s="3" t="n">
        <v>4.64</v>
      </c>
      <c r="L20" s="6" t="inlineStr"/>
      <c r="M20" s="7">
        <f>IF(L20&gt;0,(K20-L20)/K20*100,"")</f>
        <v/>
      </c>
    </row>
    <row r="21">
      <c r="A21" t="n">
        <v>20</v>
      </c>
      <c r="B21" t="inlineStr">
        <is>
          <t>AR16326003</t>
        </is>
      </c>
      <c r="C21" t="inlineStr">
        <is>
          <t>SILICONA ARTESCO LIQUIDA 250 ml (CAJONX72)</t>
        </is>
      </c>
      <c r="D21" t="inlineStr">
        <is>
          <t>Librería y Oficina</t>
        </is>
      </c>
      <c r="E21" t="inlineStr">
        <is>
          <t>Útiles Escolares</t>
        </is>
      </c>
      <c r="F21" t="inlineStr">
        <is>
          <t>Pegamentos y Silicona</t>
        </is>
      </c>
      <c r="G21" s="8" t="n">
        <v>2464.04</v>
      </c>
      <c r="H21" s="9" t="n">
        <v>458</v>
      </c>
      <c r="I21" t="n">
        <v>344</v>
      </c>
      <c r="J21" s="10" t="n">
        <v>46117</v>
      </c>
      <c r="K21" s="8" t="n">
        <v>5.42</v>
      </c>
      <c r="L21" s="6" t="inlineStr"/>
      <c r="M21" s="7">
        <f>IF(L21&gt;0,(K21-L21)/K21*100,"")</f>
        <v/>
      </c>
    </row>
    <row r="22">
      <c r="A22" s="2" t="n">
        <v>21</v>
      </c>
      <c r="B22" s="2" t="inlineStr">
        <is>
          <t>MEKA-01</t>
        </is>
      </c>
      <c r="C22" s="2" t="inlineStr">
        <is>
          <t>FORRO A4 + REGLA MERCYFAND</t>
        </is>
      </c>
      <c r="D22" s="2" t="inlineStr">
        <is>
          <t>Librería y Oficina</t>
        </is>
      </c>
      <c r="E22" s="2" t="inlineStr">
        <is>
          <t>Útiles Escolares</t>
        </is>
      </c>
      <c r="F22" s="2" t="inlineStr">
        <is>
          <t>Forros para Cuadernos</t>
        </is>
      </c>
      <c r="G22" s="3" t="n">
        <v>2448.53</v>
      </c>
      <c r="H22" s="4" t="n">
        <v>505</v>
      </c>
      <c r="I22" s="2" t="n">
        <v>339</v>
      </c>
      <c r="J22" s="5" t="n">
        <v>46132</v>
      </c>
      <c r="K22" s="3" t="n">
        <v>4.88</v>
      </c>
      <c r="L22" s="6" t="inlineStr"/>
      <c r="M22" s="7">
        <f>IF(L22&gt;0,(K22-L22)/K22*100,"")</f>
        <v/>
      </c>
    </row>
    <row r="23">
      <c r="A23" t="n">
        <v>22</v>
      </c>
      <c r="B23" t="inlineStr">
        <is>
          <t>H-TS-N07</t>
        </is>
      </c>
      <c r="C23" t="inlineStr">
        <is>
          <t>PISTOLA SILICONA</t>
        </is>
      </c>
      <c r="D23" t="inlineStr">
        <is>
          <t>Librería y Oficina</t>
        </is>
      </c>
      <c r="E23" t="inlineStr">
        <is>
          <t>Útiles Escolares</t>
        </is>
      </c>
      <c r="F23" t="inlineStr">
        <is>
          <t>Pegamentos y Silicona</t>
        </is>
      </c>
      <c r="G23" s="8" t="n">
        <v>2386.82</v>
      </c>
      <c r="H23" s="9" t="n">
        <v>500</v>
      </c>
      <c r="I23" t="n">
        <v>418</v>
      </c>
      <c r="J23" s="10" t="n">
        <v>46133</v>
      </c>
      <c r="K23" s="8" t="n">
        <v>4.8</v>
      </c>
      <c r="L23" s="6" t="inlineStr"/>
      <c r="M23" s="7">
        <f>IF(L23&gt;0,(K23-L23)/K23*100,"")</f>
        <v/>
      </c>
    </row>
    <row r="24">
      <c r="A24" s="2" t="n">
        <v>23</v>
      </c>
      <c r="B24" s="2" t="inlineStr">
        <is>
          <t>7001056</t>
        </is>
      </c>
      <c r="C24" s="2" t="inlineStr">
        <is>
          <t>PLUMON ARTESCO MAX 45 X 24 (CAJONX96EST)</t>
        </is>
      </c>
      <c r="D24" s="2" t="inlineStr">
        <is>
          <t>Librería y Oficina</t>
        </is>
      </c>
      <c r="E24" s="2" t="inlineStr">
        <is>
          <t>Útiles Escolares</t>
        </is>
      </c>
      <c r="F24" s="2" t="inlineStr">
        <is>
          <t>Plumones y Marcadores</t>
        </is>
      </c>
      <c r="G24" s="3" t="n">
        <v>2334.58</v>
      </c>
      <c r="H24" s="4" t="n">
        <v>174</v>
      </c>
      <c r="I24" s="2" t="n">
        <v>135</v>
      </c>
      <c r="J24" s="5" t="n">
        <v>46109</v>
      </c>
      <c r="K24" s="3" t="n">
        <v>13.38</v>
      </c>
      <c r="L24" s="6" t="inlineStr"/>
      <c r="M24" s="7">
        <f>IF(L24&gt;0,(K24-L24)/K24*100,"")</f>
        <v/>
      </c>
    </row>
    <row r="25">
      <c r="A25" t="n">
        <v>24</v>
      </c>
      <c r="B25" t="inlineStr">
        <is>
          <t>N-2502</t>
        </is>
      </c>
      <c r="C25" t="inlineStr">
        <is>
          <t>CAJA TOUCH 36</t>
        </is>
      </c>
      <c r="D25" t="inlineStr">
        <is>
          <t>Librería y Oficina</t>
        </is>
      </c>
      <c r="E25" t="inlineStr">
        <is>
          <t>Útiles Escolares</t>
        </is>
      </c>
      <c r="F25" t="inlineStr">
        <is>
          <t>Colores y Crayolas</t>
        </is>
      </c>
      <c r="G25" s="8" t="n">
        <v>2203.74</v>
      </c>
      <c r="H25" s="9" t="n">
        <v>139</v>
      </c>
      <c r="I25" t="n">
        <v>127</v>
      </c>
      <c r="J25" s="10" t="n">
        <v>46115</v>
      </c>
      <c r="K25" s="8" t="n">
        <v>15.87</v>
      </c>
      <c r="L25" s="6" t="inlineStr"/>
      <c r="M25" s="7">
        <f>IF(L25&gt;0,(K25-L25)/K25*100,"")</f>
        <v/>
      </c>
    </row>
    <row r="26">
      <c r="A26" s="2" t="n">
        <v>25</v>
      </c>
      <c r="B26" s="2" t="inlineStr">
        <is>
          <t>16984</t>
        </is>
      </c>
      <c r="C26" s="2" t="inlineStr">
        <is>
          <t>COLOR X 12L FAB 0408020012(1CX100)</t>
        </is>
      </c>
      <c r="D26" s="2" t="inlineStr">
        <is>
          <t>Librería y Oficina</t>
        </is>
      </c>
      <c r="E26" s="2" t="inlineStr">
        <is>
          <t>Útiles Escolares</t>
        </is>
      </c>
      <c r="F26" s="2" t="inlineStr">
        <is>
          <t>Colores y Crayolas</t>
        </is>
      </c>
      <c r="G26" s="3" t="n">
        <v>2150.39</v>
      </c>
      <c r="H26" s="4" t="n">
        <v>298</v>
      </c>
      <c r="I26" s="2" t="n">
        <v>227</v>
      </c>
      <c r="J26" s="5" t="n">
        <v>46157</v>
      </c>
      <c r="K26" s="3" t="n">
        <v>7.27</v>
      </c>
      <c r="L26" s="6" t="inlineStr"/>
      <c r="M26" s="7">
        <f>IF(L26&gt;0,(K26-L26)/K26*100,"")</f>
        <v/>
      </c>
    </row>
    <row r="27">
      <c r="A27" t="n">
        <v>26</v>
      </c>
      <c r="B27" t="inlineStr">
        <is>
          <t>GRO-1404</t>
        </is>
      </c>
      <c r="C27" t="inlineStr">
        <is>
          <t>SET RESALTADOR NORMAL X6</t>
        </is>
      </c>
      <c r="D27" t="inlineStr">
        <is>
          <t>Librería y Oficina</t>
        </is>
      </c>
      <c r="E27" t="inlineStr">
        <is>
          <t>Útiles Escolares</t>
        </is>
      </c>
      <c r="F27" t="inlineStr">
        <is>
          <t>Plumones y Marcadores</t>
        </is>
      </c>
      <c r="G27" s="8" t="n">
        <v>2076.08</v>
      </c>
      <c r="H27" s="9" t="n">
        <v>442</v>
      </c>
      <c r="I27" t="n">
        <v>383</v>
      </c>
      <c r="J27" s="10" t="n">
        <v>46151</v>
      </c>
      <c r="K27" s="8" t="n">
        <v>4.72</v>
      </c>
      <c r="L27" s="6" t="inlineStr"/>
      <c r="M27" s="7">
        <f>IF(L27&gt;0,(K27-L27)/K27*100,"")</f>
        <v/>
      </c>
    </row>
    <row r="28">
      <c r="A28" s="2" t="n">
        <v>27</v>
      </c>
      <c r="B28" s="2" t="inlineStr">
        <is>
          <t>AR16318015</t>
        </is>
      </c>
      <c r="C28" s="2" t="inlineStr">
        <is>
          <t>GOMA ARTESCO SMART BARRA X 36GR (CAJONX288)</t>
        </is>
      </c>
      <c r="D28" s="2" t="inlineStr">
        <is>
          <t>Librería y Oficina</t>
        </is>
      </c>
      <c r="E28" s="2" t="inlineStr">
        <is>
          <t>Útiles Escolares</t>
        </is>
      </c>
      <c r="F28" s="2" t="inlineStr">
        <is>
          <t>Pegamentos y Silicona</t>
        </is>
      </c>
      <c r="G28" s="3" t="n">
        <v>2043.36</v>
      </c>
      <c r="H28" s="4" t="n">
        <v>716</v>
      </c>
      <c r="I28" s="2" t="n">
        <v>466</v>
      </c>
      <c r="J28" s="5" t="n">
        <v>46121</v>
      </c>
      <c r="K28" s="3" t="n">
        <v>2.88</v>
      </c>
      <c r="L28" s="6" t="inlineStr"/>
      <c r="M28" s="7">
        <f>IF(L28&gt;0,(K28-L28)/K28*100,"")</f>
        <v/>
      </c>
    </row>
    <row r="29">
      <c r="A29" t="n">
        <v>28</v>
      </c>
      <c r="B29" t="inlineStr">
        <is>
          <t>13094000</t>
        </is>
      </c>
      <c r="C29" t="inlineStr">
        <is>
          <t>TEMPERA ARTESCO ESTUCHE X 7 (CAJONX36)</t>
        </is>
      </c>
      <c r="D29" t="inlineStr">
        <is>
          <t>Librería y Oficina</t>
        </is>
      </c>
      <c r="E29" t="inlineStr">
        <is>
          <t>Útiles Escolares</t>
        </is>
      </c>
      <c r="F29" t="inlineStr">
        <is>
          <t>Témperas y Pinturas</t>
        </is>
      </c>
      <c r="G29" s="8" t="n">
        <v>2007.6</v>
      </c>
      <c r="H29" s="9" t="n">
        <v>245</v>
      </c>
      <c r="I29" t="n">
        <v>210</v>
      </c>
      <c r="J29" s="10" t="n">
        <v>46119</v>
      </c>
      <c r="K29" s="8" t="n">
        <v>8.17</v>
      </c>
      <c r="L29" s="6" t="inlineStr"/>
      <c r="M29" s="7">
        <f>IF(L29&gt;0,(K29-L29)/K29*100,"")</f>
        <v/>
      </c>
    </row>
    <row r="30">
      <c r="A30" s="2" t="n">
        <v>29</v>
      </c>
      <c r="B30" s="2" t="inlineStr">
        <is>
          <t>DW06</t>
        </is>
      </c>
      <c r="C30" s="2" t="inlineStr">
        <is>
          <t>CAJA TOUCH 120</t>
        </is>
      </c>
      <c r="D30" s="2" t="inlineStr">
        <is>
          <t>Librería y Oficina</t>
        </is>
      </c>
      <c r="E30" s="2" t="inlineStr">
        <is>
          <t>Útiles Escolares</t>
        </is>
      </c>
      <c r="F30" s="2" t="inlineStr">
        <is>
          <t>Colores y Crayolas</t>
        </is>
      </c>
      <c r="G30" s="3" t="n">
        <v>2005.83</v>
      </c>
      <c r="H30" s="4" t="n">
        <v>44</v>
      </c>
      <c r="I30" s="2" t="n">
        <v>41</v>
      </c>
      <c r="J30" s="5" t="n">
        <v>46118</v>
      </c>
      <c r="K30" s="3" t="n">
        <v>45.79</v>
      </c>
      <c r="L30" s="6" t="inlineStr"/>
      <c r="M30" s="7">
        <f>IF(L30&gt;0,(K30-L30)/K30*100,"")</f>
        <v/>
      </c>
    </row>
    <row r="31">
      <c r="A31" t="n">
        <v>30</v>
      </c>
      <c r="B31" t="inlineStr">
        <is>
          <t>140223</t>
        </is>
      </c>
      <c r="C31" t="inlineStr">
        <is>
          <t>SET CARTERA X 120 PZS</t>
        </is>
      </c>
      <c r="D31" t="inlineStr">
        <is>
          <t>Accesorios</t>
        </is>
      </c>
      <c r="E31" t="inlineStr">
        <is>
          <t>Accesorios Mujer</t>
        </is>
      </c>
      <c r="F31" t="inlineStr">
        <is>
          <t>Carteras</t>
        </is>
      </c>
      <c r="G31" s="8" t="n">
        <v>1987.05</v>
      </c>
      <c r="H31" s="9" t="n">
        <v>104</v>
      </c>
      <c r="I31" t="n">
        <v>73</v>
      </c>
      <c r="J31" s="10" t="n">
        <v>46161</v>
      </c>
      <c r="K31" s="8" t="n">
        <v>19.47</v>
      </c>
      <c r="L31" s="6" t="inlineStr"/>
      <c r="M31" s="7">
        <f>IF(L31&gt;0,(K31-L31)/K31*100,"")</f>
        <v/>
      </c>
    </row>
    <row r="32">
      <c r="A32" s="2" t="n">
        <v>31</v>
      </c>
      <c r="B32" s="2" t="inlineStr">
        <is>
          <t>N-2531</t>
        </is>
      </c>
      <c r="C32" s="2" t="inlineStr">
        <is>
          <t>Touch 24pcs</t>
        </is>
      </c>
      <c r="D32" s="2" t="inlineStr">
        <is>
          <t>Librería y Oficina</t>
        </is>
      </c>
      <c r="E32" s="2" t="inlineStr">
        <is>
          <t>Útiles Escolares</t>
        </is>
      </c>
      <c r="F32" s="2" t="inlineStr">
        <is>
          <t>Colores y Crayolas</t>
        </is>
      </c>
      <c r="G32" s="3" t="n">
        <v>1960.37</v>
      </c>
      <c r="H32" s="4" t="n">
        <v>181</v>
      </c>
      <c r="I32" s="2" t="n">
        <v>157</v>
      </c>
      <c r="J32" s="5" t="n">
        <v>46119</v>
      </c>
      <c r="K32" s="3" t="n">
        <v>10.87</v>
      </c>
      <c r="L32" s="6" t="inlineStr"/>
      <c r="M32" s="7">
        <f>IF(L32&gt;0,(K32-L32)/K32*100,"")</f>
        <v/>
      </c>
    </row>
    <row r="33">
      <c r="A33" t="n">
        <v>32</v>
      </c>
      <c r="B33" t="inlineStr">
        <is>
          <t>AR13085000</t>
        </is>
      </c>
      <c r="C33" t="inlineStr">
        <is>
          <t>FORRO ARTESCOFAN T/A4 X 5 mts. (CAJAX50)</t>
        </is>
      </c>
      <c r="D33" t="inlineStr">
        <is>
          <t>Librería y Oficina</t>
        </is>
      </c>
      <c r="E33" t="inlineStr">
        <is>
          <t>Útiles Escolares</t>
        </is>
      </c>
      <c r="F33" t="inlineStr">
        <is>
          <t>Forros para Cuadernos</t>
        </is>
      </c>
      <c r="G33" s="8" t="n">
        <v>1957.95</v>
      </c>
      <c r="H33" s="9" t="n">
        <v>346</v>
      </c>
      <c r="I33" t="n">
        <v>292</v>
      </c>
      <c r="J33" s="10" t="n">
        <v>46138</v>
      </c>
      <c r="K33" s="8" t="n">
        <v>5.69</v>
      </c>
      <c r="L33" s="6" t="inlineStr"/>
      <c r="M33" s="7">
        <f>IF(L33&gt;0,(K33-L33)/K33*100,"")</f>
        <v/>
      </c>
    </row>
    <row r="34">
      <c r="A34" s="2" t="n">
        <v>33</v>
      </c>
      <c r="B34" s="2" t="inlineStr">
        <is>
          <t>GRO-1440</t>
        </is>
      </c>
      <c r="C34" s="2" t="inlineStr">
        <is>
          <t>PAPEL CREPE X10 MERCYFAND</t>
        </is>
      </c>
      <c r="D34" s="2" t="inlineStr">
        <is>
          <t>Librería y Oficina</t>
        </is>
      </c>
      <c r="E34" s="2" t="inlineStr">
        <is>
          <t>Útiles Escolares</t>
        </is>
      </c>
      <c r="F34" s="2" t="inlineStr">
        <is>
          <t>Papeles y Cartulinas</t>
        </is>
      </c>
      <c r="G34" s="3" t="n">
        <v>1900.89</v>
      </c>
      <c r="H34" s="4" t="n">
        <v>463</v>
      </c>
      <c r="I34" s="2" t="n">
        <v>389</v>
      </c>
      <c r="J34" s="5" t="n">
        <v>46111</v>
      </c>
      <c r="K34" s="3" t="n">
        <v>4.14</v>
      </c>
      <c r="L34" s="6" t="inlineStr"/>
      <c r="M34" s="7">
        <f>IF(L34&gt;0,(K34-L34)/K34*100,"")</f>
        <v/>
      </c>
    </row>
    <row r="35">
      <c r="A35" t="n">
        <v>34</v>
      </c>
      <c r="B35" t="inlineStr">
        <is>
          <t>GLI-123</t>
        </is>
      </c>
      <c r="C35" t="inlineStr">
        <is>
          <t>SET LAPICERO GEL X3</t>
        </is>
      </c>
      <c r="D35" t="inlineStr">
        <is>
          <t>Librería y Oficina</t>
        </is>
      </c>
      <c r="E35" t="inlineStr">
        <is>
          <t>Útiles Escolares</t>
        </is>
      </c>
      <c r="F35" t="inlineStr">
        <is>
          <t>Lápices y Lapiceros</t>
        </is>
      </c>
      <c r="G35" s="8" t="n">
        <v>1872.12</v>
      </c>
      <c r="H35" s="9" t="n">
        <v>1376</v>
      </c>
      <c r="I35" t="n">
        <v>873</v>
      </c>
      <c r="J35" s="10" t="n">
        <v>46127</v>
      </c>
      <c r="K35" s="8" t="n">
        <v>1.37</v>
      </c>
      <c r="L35" s="6" t="inlineStr"/>
      <c r="M35" s="7">
        <f>IF(L35&gt;0,(K35-L35)/K35*100,"")</f>
        <v/>
      </c>
    </row>
    <row r="36">
      <c r="A36" s="2" t="n">
        <v>35</v>
      </c>
      <c r="B36" s="2" t="inlineStr">
        <is>
          <t>MER-1410</t>
        </is>
      </c>
      <c r="C36" s="2" t="inlineStr">
        <is>
          <t>SET RESALTADOR PASTEL X6</t>
        </is>
      </c>
      <c r="D36" s="2" t="inlineStr">
        <is>
          <t>Librería y Oficina</t>
        </is>
      </c>
      <c r="E36" s="2" t="inlineStr">
        <is>
          <t>Útiles Escolares</t>
        </is>
      </c>
      <c r="F36" s="2" t="inlineStr">
        <is>
          <t>Plumones y Marcadores</t>
        </is>
      </c>
      <c r="G36" s="3" t="n">
        <v>1869.78</v>
      </c>
      <c r="H36" s="4" t="n">
        <v>383</v>
      </c>
      <c r="I36" s="2" t="n">
        <v>314</v>
      </c>
      <c r="J36" s="5" t="n">
        <v>46111</v>
      </c>
      <c r="K36" s="3" t="n">
        <v>4.91</v>
      </c>
      <c r="L36" s="6" t="inlineStr"/>
      <c r="M36" s="7">
        <f>IF(L36&gt;0,(K36-L36)/K36*100,"")</f>
        <v/>
      </c>
    </row>
    <row r="37">
      <c r="A37" t="n">
        <v>36</v>
      </c>
      <c r="B37" t="inlineStr">
        <is>
          <t>AR15016000</t>
        </is>
      </c>
      <c r="C37" t="inlineStr">
        <is>
          <t>LIMPIATIPOS ARTESCO COLORES (CAJAX144)</t>
        </is>
      </c>
      <c r="D37" t="inlineStr">
        <is>
          <t>Librería y Oficina</t>
        </is>
      </c>
      <c r="E37" t="inlineStr">
        <is>
          <t>Útiles Escolares</t>
        </is>
      </c>
      <c r="F37" t="inlineStr">
        <is>
          <t>Colores y Crayolas</t>
        </is>
      </c>
      <c r="G37" s="8" t="n">
        <v>1829.3</v>
      </c>
      <c r="H37" s="9" t="n">
        <v>842</v>
      </c>
      <c r="I37" t="n">
        <v>448</v>
      </c>
      <c r="J37" s="10" t="n">
        <v>46113</v>
      </c>
      <c r="K37" s="8" t="n">
        <v>2.19</v>
      </c>
      <c r="L37" s="6" t="inlineStr"/>
      <c r="M37" s="7">
        <f>IF(L37&gt;0,(K37-L37)/K37*100,"")</f>
        <v/>
      </c>
    </row>
    <row r="38">
      <c r="A38" s="2" t="n">
        <v>37</v>
      </c>
      <c r="B38" s="2" t="inlineStr">
        <is>
          <t>BAI-A4</t>
        </is>
      </c>
      <c r="C38" s="2" t="inlineStr">
        <is>
          <t>Block arco iris x 50 hoja</t>
        </is>
      </c>
      <c r="D38" s="2" t="inlineStr">
        <is>
          <t>Librería y Oficina</t>
        </is>
      </c>
      <c r="E38" s="2" t="inlineStr">
        <is>
          <t>Útiles Escolares</t>
        </is>
      </c>
      <c r="F38" s="2" t="inlineStr">
        <is>
          <t>Cuadernos y Blocks</t>
        </is>
      </c>
      <c r="G38" s="3" t="n">
        <v>1806.41</v>
      </c>
      <c r="H38" s="4" t="n">
        <v>321</v>
      </c>
      <c r="I38" s="2" t="n">
        <v>273</v>
      </c>
      <c r="J38" s="5" t="n">
        <v>46115</v>
      </c>
      <c r="K38" s="3" t="n">
        <v>5.66</v>
      </c>
      <c r="L38" s="6" t="inlineStr"/>
      <c r="M38" s="7">
        <f>IF(L38&gt;0,(K38-L38)/K38*100,"")</f>
        <v/>
      </c>
    </row>
    <row r="39">
      <c r="A39" t="n">
        <v>38</v>
      </c>
      <c r="B39" t="inlineStr">
        <is>
          <t>TS-530</t>
        </is>
      </c>
      <c r="C39" t="inlineStr">
        <is>
          <t>Set paños Colores enteros</t>
        </is>
      </c>
      <c r="D39" t="inlineStr">
        <is>
          <t>Librería y Oficina</t>
        </is>
      </c>
      <c r="E39" t="inlineStr">
        <is>
          <t>Útiles Escolares</t>
        </is>
      </c>
      <c r="F39" t="inlineStr">
        <is>
          <t>Colores y Crayolas</t>
        </is>
      </c>
      <c r="G39" s="8" t="n">
        <v>1774.66</v>
      </c>
      <c r="H39" s="9" t="n">
        <v>612</v>
      </c>
      <c r="I39" t="n">
        <v>573</v>
      </c>
      <c r="J39" s="10" t="n">
        <v>46131</v>
      </c>
      <c r="K39" s="8" t="n">
        <v>2.9</v>
      </c>
      <c r="L39" s="6" t="inlineStr"/>
      <c r="M39" s="7">
        <f>IF(L39&gt;0,(K39-L39)/K39*100,"")</f>
        <v/>
      </c>
    </row>
    <row r="40">
      <c r="A40" s="2" t="n">
        <v>39</v>
      </c>
      <c r="B40" s="2" t="inlineStr">
        <is>
          <t>RKY-50</t>
        </is>
      </c>
      <c r="C40" s="2" t="inlineStr">
        <is>
          <t>ROMPECABEZAS KAYROS X 50 FICHAS</t>
        </is>
      </c>
      <c r="D40" s="2" t="inlineStr">
        <is>
          <t>Juguetes y Juegos</t>
        </is>
      </c>
      <c r="E40" s="2" t="inlineStr">
        <is>
          <t>Juguetes</t>
        </is>
      </c>
      <c r="F40" s="2" t="inlineStr">
        <is>
          <t>Juegos Didácticos</t>
        </is>
      </c>
      <c r="G40" s="3" t="n">
        <v>1768.35</v>
      </c>
      <c r="H40" s="4" t="n">
        <v>111</v>
      </c>
      <c r="I40" s="2" t="n">
        <v>81</v>
      </c>
      <c r="J40" s="5" t="n">
        <v>46119</v>
      </c>
      <c r="K40" s="3" t="n">
        <v>15.98</v>
      </c>
      <c r="L40" s="6" t="inlineStr"/>
      <c r="M40" s="7">
        <f>IF(L40&gt;0,(K40-L40)/K40*100,"")</f>
        <v/>
      </c>
    </row>
    <row r="41">
      <c r="A41" t="n">
        <v>40</v>
      </c>
      <c r="B41" t="inlineStr">
        <is>
          <t>16319000</t>
        </is>
      </c>
      <c r="C41" t="inlineStr">
        <is>
          <t>COLORES ARTESCO X 24 LARGOS TRIANGULAR SUPER INTENSOS (CAJONX96)</t>
        </is>
      </c>
      <c r="D41" t="inlineStr">
        <is>
          <t>Librería y Oficina</t>
        </is>
      </c>
      <c r="E41" t="inlineStr">
        <is>
          <t>Útiles Escolares</t>
        </is>
      </c>
      <c r="F41" t="inlineStr">
        <is>
          <t>Colores y Crayolas</t>
        </is>
      </c>
      <c r="G41" s="8" t="n">
        <v>1747.35</v>
      </c>
      <c r="H41" s="9" t="n">
        <v>108</v>
      </c>
      <c r="I41" t="n">
        <v>91</v>
      </c>
      <c r="J41" s="10" t="n">
        <v>46115</v>
      </c>
      <c r="K41" s="8" t="n">
        <v>16.34</v>
      </c>
      <c r="L41" s="6" t="inlineStr"/>
      <c r="M41" s="7">
        <f>IF(L41&gt;0,(K41-L41)/K41*100,"")</f>
        <v/>
      </c>
    </row>
    <row r="42">
      <c r="A42" s="2" t="n">
        <v>41</v>
      </c>
      <c r="B42" s="2" t="inlineStr">
        <is>
          <t>632409</t>
        </is>
      </c>
      <c r="C42" s="2" t="inlineStr">
        <is>
          <t>SILICONA LIQUIDA 250ML YIMI</t>
        </is>
      </c>
      <c r="D42" s="2" t="inlineStr">
        <is>
          <t>Librería y Oficina</t>
        </is>
      </c>
      <c r="E42" s="2" t="inlineStr">
        <is>
          <t>Útiles Escolares</t>
        </is>
      </c>
      <c r="F42" s="2" t="inlineStr">
        <is>
          <t>Pegamentos y Silicona</t>
        </is>
      </c>
      <c r="G42" s="3" t="n">
        <v>1738.69</v>
      </c>
      <c r="H42" s="4" t="n">
        <v>400</v>
      </c>
      <c r="I42" s="2" t="n">
        <v>288</v>
      </c>
      <c r="J42" s="5" t="n">
        <v>46109</v>
      </c>
      <c r="K42" s="3" t="n">
        <v>4.38</v>
      </c>
      <c r="L42" s="6" t="inlineStr"/>
      <c r="M42" s="7">
        <f>IF(L42&gt;0,(K42-L42)/K42*100,"")</f>
        <v/>
      </c>
    </row>
    <row r="43">
      <c r="A43" t="n">
        <v>42</v>
      </c>
      <c r="B43" t="inlineStr">
        <is>
          <t>842003</t>
        </is>
      </c>
      <c r="C43" t="inlineStr">
        <is>
          <t>BOLIG YIMI ESCARCHADO X 24 COLORES</t>
        </is>
      </c>
      <c r="D43" t="inlineStr">
        <is>
          <t>Librería y Oficina</t>
        </is>
      </c>
      <c r="E43" t="inlineStr">
        <is>
          <t>Útiles Escolares</t>
        </is>
      </c>
      <c r="F43" t="inlineStr">
        <is>
          <t>Colores y Crayolas</t>
        </is>
      </c>
      <c r="G43" s="8" t="n">
        <v>1697.18</v>
      </c>
      <c r="H43" s="9" t="n">
        <v>180</v>
      </c>
      <c r="I43" t="n">
        <v>165</v>
      </c>
      <c r="J43" s="10" t="n">
        <v>46177</v>
      </c>
      <c r="K43" s="8" t="n">
        <v>9.43</v>
      </c>
      <c r="L43" s="6" t="inlineStr"/>
      <c r="M43" s="7">
        <f>IF(L43&gt;0,(K43-L43)/K43*100,"")</f>
        <v/>
      </c>
    </row>
    <row r="44">
      <c r="A44" s="2" t="n">
        <v>43</v>
      </c>
      <c r="B44" s="2" t="inlineStr">
        <is>
          <t>KD-2892</t>
        </is>
      </c>
      <c r="C44" s="2" t="inlineStr">
        <is>
          <t>CORTINA VENTANA X1</t>
        </is>
      </c>
      <c r="D44" s="2" t="inlineStr">
        <is>
          <t>Hogar y Decoración</t>
        </is>
      </c>
      <c r="E44" s="2" t="inlineStr">
        <is>
          <t>Decoración</t>
        </is>
      </c>
      <c r="F44" s="2" t="inlineStr">
        <is>
          <t>Adornos y Accesorios de Decoración</t>
        </is>
      </c>
      <c r="G44" s="3" t="n">
        <v>1683</v>
      </c>
      <c r="H44" s="4" t="n">
        <v>102</v>
      </c>
      <c r="I44" s="2" t="n">
        <v>52</v>
      </c>
      <c r="J44" s="5" t="n">
        <v>46143</v>
      </c>
      <c r="K44" s="3" t="n">
        <v>16.5</v>
      </c>
      <c r="L44" s="6" t="inlineStr"/>
      <c r="M44" s="7">
        <f>IF(L44&gt;0,(K44-L44)/K44*100,"")</f>
        <v/>
      </c>
    </row>
    <row r="45">
      <c r="A45" t="n">
        <v>44</v>
      </c>
      <c r="B45" t="inlineStr">
        <is>
          <t>1000-3</t>
        </is>
      </c>
      <c r="C45" t="inlineStr">
        <is>
          <t>Taper vidrio 3 diviciones grande</t>
        </is>
      </c>
      <c r="G45" s="8" t="n">
        <v>1594</v>
      </c>
      <c r="H45" s="9" t="n">
        <v>128</v>
      </c>
      <c r="I45" t="n">
        <v>105</v>
      </c>
      <c r="J45" s="10" t="n">
        <v>46142</v>
      </c>
      <c r="K45" s="8" t="n">
        <v>12.49</v>
      </c>
      <c r="L45" s="6" t="inlineStr"/>
      <c r="M45" s="7">
        <f>IF(L45&gt;0,(K45-L45)/K45*100,"")</f>
        <v/>
      </c>
    </row>
    <row r="46">
      <c r="A46" s="2" t="n">
        <v>45</v>
      </c>
      <c r="B46" s="2" t="inlineStr">
        <is>
          <t>AR16326011</t>
        </is>
      </c>
      <c r="C46" s="2" t="inlineStr">
        <is>
          <t>SILICONA ARTESCO LIQUIDA 500ml (CAJONX36)</t>
        </is>
      </c>
      <c r="D46" s="2" t="inlineStr">
        <is>
          <t>Librería y Oficina</t>
        </is>
      </c>
      <c r="E46" s="2" t="inlineStr">
        <is>
          <t>Útiles Escolares</t>
        </is>
      </c>
      <c r="F46" s="2" t="inlineStr">
        <is>
          <t>Pegamentos y Silicona</t>
        </is>
      </c>
      <c r="G46" s="3" t="n">
        <v>1590.21</v>
      </c>
      <c r="H46" s="4" t="n">
        <v>122</v>
      </c>
      <c r="I46" s="2" t="n">
        <v>105</v>
      </c>
      <c r="J46" s="5" t="n">
        <v>46125</v>
      </c>
      <c r="K46" s="3" t="n">
        <v>13.04</v>
      </c>
      <c r="L46" s="6" t="inlineStr"/>
      <c r="M46" s="7">
        <f>IF(L46&gt;0,(K46-L46)/K46*100,"")</f>
        <v/>
      </c>
    </row>
    <row r="47">
      <c r="A47" t="n">
        <v>46</v>
      </c>
      <c r="B47" t="inlineStr">
        <is>
          <t>GF-3563</t>
        </is>
      </c>
      <c r="C47" t="inlineStr">
        <is>
          <t>TAZA/PELUCHE</t>
        </is>
      </c>
      <c r="D47" t="inlineStr">
        <is>
          <t>Temporada y Celebraciones</t>
        </is>
      </c>
      <c r="E47" t="inlineStr">
        <is>
          <t>Regalos y Novedades</t>
        </is>
      </c>
      <c r="F47" t="inlineStr">
        <is>
          <t>Detalles dia madre</t>
        </is>
      </c>
      <c r="G47" s="8" t="n">
        <v>1582.99</v>
      </c>
      <c r="H47" s="9" t="n">
        <v>144</v>
      </c>
      <c r="I47" t="n">
        <v>49</v>
      </c>
      <c r="J47" s="10" t="n">
        <v>46165</v>
      </c>
      <c r="K47" s="8" t="n">
        <v>11.29</v>
      </c>
      <c r="L47" s="6" t="inlineStr"/>
      <c r="M47" s="7">
        <f>IF(L47&gt;0,(K47-L47)/K47*100,"")</f>
        <v/>
      </c>
    </row>
    <row r="48">
      <c r="A48" s="2" t="n">
        <v>47</v>
      </c>
      <c r="B48" s="2" t="inlineStr">
        <is>
          <t>DIC-ES</t>
        </is>
      </c>
      <c r="C48" s="2" t="inlineStr">
        <is>
          <t>DICCIONARIO EDUCATIVA ESCOLAR ESPAÑOL</t>
        </is>
      </c>
      <c r="D48" s="2" t="inlineStr">
        <is>
          <t>Librería y Oficina</t>
        </is>
      </c>
      <c r="E48" s="2" t="inlineStr">
        <is>
          <t>Útiles Escolares</t>
        </is>
      </c>
      <c r="F48" s="2" t="inlineStr">
        <is>
          <t>Libros y Diccionarios</t>
        </is>
      </c>
      <c r="G48" s="3" t="n">
        <v>1579.36</v>
      </c>
      <c r="H48" s="4" t="n">
        <v>90</v>
      </c>
      <c r="I48" s="2" t="n">
        <v>90</v>
      </c>
      <c r="J48" s="5" t="n">
        <v>46124</v>
      </c>
      <c r="K48" s="3" t="n">
        <v>17.55</v>
      </c>
      <c r="L48" s="6" t="inlineStr"/>
      <c r="M48" s="7">
        <f>IF(L48&gt;0,(K48-L48)/K48*100,"")</f>
        <v/>
      </c>
    </row>
    <row r="49">
      <c r="A49" t="n">
        <v>48</v>
      </c>
      <c r="B49" t="inlineStr">
        <is>
          <t>MS-3510</t>
        </is>
      </c>
      <c r="C49" t="inlineStr">
        <is>
          <t>TOMATODO LOVE 2L</t>
        </is>
      </c>
      <c r="D49" t="inlineStr">
        <is>
          <t>Hogar y Decoración</t>
        </is>
      </c>
      <c r="E49" t="inlineStr">
        <is>
          <t>Menaje de Cocina</t>
        </is>
      </c>
      <c r="F49" t="inlineStr">
        <is>
          <t>Tomatodos y Botellas</t>
        </is>
      </c>
      <c r="G49" s="8" t="n">
        <v>1570.62</v>
      </c>
      <c r="H49" s="9" t="n">
        <v>106</v>
      </c>
      <c r="I49" t="n">
        <v>87</v>
      </c>
      <c r="J49" s="10" t="n">
        <v>46136</v>
      </c>
      <c r="K49" s="8" t="n">
        <v>14.86</v>
      </c>
      <c r="L49" s="6" t="inlineStr"/>
      <c r="M49" s="7">
        <f>IF(L49&gt;0,(K49-L49)/K49*100,"")</f>
        <v/>
      </c>
    </row>
    <row r="50">
      <c r="A50" s="2" t="n">
        <v>49</v>
      </c>
      <c r="B50" s="2" t="inlineStr">
        <is>
          <t>MS-2697</t>
        </is>
      </c>
      <c r="C50" s="2" t="inlineStr">
        <is>
          <t>Tomatodo poretty 1L</t>
        </is>
      </c>
      <c r="D50" s="2" t="inlineStr">
        <is>
          <t>Hogar y Decoración</t>
        </is>
      </c>
      <c r="E50" s="2" t="inlineStr">
        <is>
          <t>Menaje de Cocina</t>
        </is>
      </c>
      <c r="F50" s="2" t="inlineStr">
        <is>
          <t>Tomatodos y Botellas</t>
        </is>
      </c>
      <c r="G50" s="3" t="n">
        <v>1564.2</v>
      </c>
      <c r="H50" s="4" t="n">
        <v>158</v>
      </c>
      <c r="I50" s="2" t="n">
        <v>134</v>
      </c>
      <c r="J50" s="5" t="n">
        <v>46150</v>
      </c>
      <c r="K50" s="3" t="n">
        <v>9.9</v>
      </c>
      <c r="L50" s="6" t="inlineStr"/>
      <c r="M50" s="7">
        <f>IF(L50&gt;0,(K50-L50)/K50*100,"")</f>
        <v/>
      </c>
    </row>
    <row r="51">
      <c r="A51" t="n">
        <v>50</v>
      </c>
      <c r="B51" t="inlineStr">
        <is>
          <t>76203884780885</t>
        </is>
      </c>
      <c r="C51" t="inlineStr">
        <is>
          <t>SH Nutribela Colágeno 400Ml</t>
        </is>
      </c>
      <c r="D51" t="inlineStr">
        <is>
          <t>Cuidado Personal y Salud</t>
        </is>
      </c>
      <c r="E51" t="inlineStr">
        <is>
          <t>Cuidado del Cabello</t>
        </is>
      </c>
      <c r="F51" t="inlineStr">
        <is>
          <t>Shampoo</t>
        </is>
      </c>
      <c r="G51" s="8" t="n">
        <v>1549.6</v>
      </c>
      <c r="H51" s="9" t="n">
        <v>104</v>
      </c>
      <c r="I51" t="n">
        <v>103</v>
      </c>
      <c r="J51" s="10" t="n">
        <v>46178</v>
      </c>
      <c r="K51" s="8" t="n">
        <v>14.9</v>
      </c>
      <c r="L51" s="6" t="inlineStr"/>
      <c r="M51" s="7">
        <f>IF(L51&gt;0,(K51-L51)/K51*100,"")</f>
        <v/>
      </c>
    </row>
    <row r="52">
      <c r="A52" s="2" t="n">
        <v>51</v>
      </c>
      <c r="B52" s="2" t="inlineStr">
        <is>
          <t>MS-3338</t>
        </is>
      </c>
      <c r="C52" s="2" t="inlineStr">
        <is>
          <t>Tomatodo ready 1L</t>
        </is>
      </c>
      <c r="D52" s="2" t="inlineStr">
        <is>
          <t>Hogar y Decoración</t>
        </is>
      </c>
      <c r="E52" s="2" t="inlineStr">
        <is>
          <t>Menaje de Cocina</t>
        </is>
      </c>
      <c r="F52" s="2" t="inlineStr">
        <is>
          <t>Tomatodos y Botellas</t>
        </is>
      </c>
      <c r="G52" s="3" t="n">
        <v>1525.28</v>
      </c>
      <c r="H52" s="4" t="n">
        <v>156</v>
      </c>
      <c r="I52" s="2" t="n">
        <v>113</v>
      </c>
      <c r="J52" s="5" t="n">
        <v>46143</v>
      </c>
      <c r="K52" s="3" t="n">
        <v>9.890000000000001</v>
      </c>
      <c r="L52" s="6" t="inlineStr"/>
      <c r="M52" s="7">
        <f>IF(L52&gt;0,(K52-L52)/K52*100,"")</f>
        <v/>
      </c>
    </row>
    <row r="53">
      <c r="A53" t="n">
        <v>52</v>
      </c>
      <c r="B53" t="inlineStr">
        <is>
          <t>7002052</t>
        </is>
      </c>
      <c r="C53" t="inlineStr">
        <is>
          <t>PLUMON ARTESCO AQUAMAX 47X12 (CAJONX24EST)</t>
        </is>
      </c>
      <c r="D53" t="inlineStr">
        <is>
          <t>Librería y Oficina</t>
        </is>
      </c>
      <c r="E53" t="inlineStr">
        <is>
          <t>Útiles Escolares</t>
        </is>
      </c>
      <c r="F53" t="inlineStr">
        <is>
          <t>Plumones y Marcadores</t>
        </is>
      </c>
      <c r="G53" s="8" t="n">
        <v>1515.27</v>
      </c>
      <c r="H53" s="9" t="n">
        <v>96</v>
      </c>
      <c r="I53" t="n">
        <v>71</v>
      </c>
      <c r="J53" s="10" t="n">
        <v>46127</v>
      </c>
      <c r="K53" s="8" t="n">
        <v>15.83</v>
      </c>
      <c r="L53" s="6" t="inlineStr"/>
      <c r="M53" s="7">
        <f>IF(L53&gt;0,(K53-L53)/K53*100,"")</f>
        <v/>
      </c>
    </row>
    <row r="54">
      <c r="A54" s="2" t="n">
        <v>53</v>
      </c>
      <c r="B54" s="2" t="inlineStr">
        <is>
          <t>140543</t>
        </is>
      </c>
      <c r="C54" s="2" t="inlineStr">
        <is>
          <t>CARTERA CROSSBODY DIS. FLORES</t>
        </is>
      </c>
      <c r="D54" s="2" t="inlineStr">
        <is>
          <t>Accesorios</t>
        </is>
      </c>
      <c r="E54" s="2" t="inlineStr">
        <is>
          <t>Accesorios Mujer</t>
        </is>
      </c>
      <c r="F54" s="2" t="inlineStr">
        <is>
          <t>Carteras</t>
        </is>
      </c>
      <c r="G54" s="3" t="n">
        <v>1483.98</v>
      </c>
      <c r="H54" s="4" t="n">
        <v>101</v>
      </c>
      <c r="I54" s="2" t="n">
        <v>70</v>
      </c>
      <c r="J54" s="5" t="n">
        <v>46150</v>
      </c>
      <c r="K54" s="3" t="n">
        <v>14.86</v>
      </c>
      <c r="L54" s="6" t="inlineStr"/>
      <c r="M54" s="7">
        <f>IF(L54&gt;0,(K54-L54)/K54*100,"")</f>
        <v/>
      </c>
    </row>
    <row r="55">
      <c r="A55" t="n">
        <v>54</v>
      </c>
      <c r="B55" t="inlineStr">
        <is>
          <t>75891958765394</t>
        </is>
      </c>
      <c r="C55" t="inlineStr">
        <is>
          <t>Detergente Trome Floral 1Kg (PQTX12)</t>
        </is>
      </c>
      <c r="D55" t="inlineStr">
        <is>
          <t>Limpieza</t>
        </is>
      </c>
      <c r="E55" t="inlineStr">
        <is>
          <t>Detergentes y Suavizantes</t>
        </is>
      </c>
      <c r="F55" t="inlineStr">
        <is>
          <t>Detergentes en Polvo</t>
        </is>
      </c>
      <c r="G55" s="8" t="n">
        <v>1453.05</v>
      </c>
      <c r="H55" s="9" t="n">
        <v>323</v>
      </c>
      <c r="I55" t="n">
        <v>270</v>
      </c>
      <c r="J55" s="10" t="n">
        <v>46168</v>
      </c>
      <c r="K55" s="8" t="n">
        <v>4.5</v>
      </c>
      <c r="L55" s="6" t="inlineStr"/>
      <c r="M55" s="7">
        <f>IF(L55&gt;0,(K55-L55)/K55*100,"")</f>
        <v/>
      </c>
    </row>
    <row r="56">
      <c r="A56" s="2" t="n">
        <v>55</v>
      </c>
      <c r="B56" s="2" t="inlineStr">
        <is>
          <t>MER-12</t>
        </is>
      </c>
      <c r="C56" s="2" t="inlineStr">
        <is>
          <t>SET RESALTADOR PASTEL CAJA X12</t>
        </is>
      </c>
      <c r="D56" s="2" t="inlineStr">
        <is>
          <t>Librería y Oficina</t>
        </is>
      </c>
      <c r="E56" s="2" t="inlineStr">
        <is>
          <t>Útiles Escolares</t>
        </is>
      </c>
      <c r="F56" s="2" t="inlineStr">
        <is>
          <t>Plumones y Marcadores</t>
        </is>
      </c>
      <c r="G56" s="3" t="n">
        <v>1448.76</v>
      </c>
      <c r="H56" s="4" t="n">
        <v>143</v>
      </c>
      <c r="I56" s="2" t="n">
        <v>126</v>
      </c>
      <c r="J56" s="5" t="n">
        <v>46128</v>
      </c>
      <c r="K56" s="3" t="n">
        <v>10.16</v>
      </c>
      <c r="L56" s="6" t="inlineStr"/>
      <c r="M56" s="7">
        <f>IF(L56&gt;0,(K56-L56)/K56*100,"")</f>
        <v/>
      </c>
    </row>
    <row r="57">
      <c r="A57" t="n">
        <v>56</v>
      </c>
      <c r="B57" t="inlineStr">
        <is>
          <t>CC-936</t>
        </is>
      </c>
      <c r="C57" t="inlineStr">
        <is>
          <t>Tomatodo 500ml niños</t>
        </is>
      </c>
      <c r="D57" t="inlineStr">
        <is>
          <t>Hogar y Decoración</t>
        </is>
      </c>
      <c r="E57" t="inlineStr">
        <is>
          <t>Menaje de Cocina</t>
        </is>
      </c>
      <c r="F57" t="inlineStr">
        <is>
          <t>Tomatodos y Botellas</t>
        </is>
      </c>
      <c r="G57" s="8" t="n">
        <v>1441.8</v>
      </c>
      <c r="H57" s="9" t="n">
        <v>162</v>
      </c>
      <c r="I57" t="n">
        <v>119</v>
      </c>
      <c r="J57" s="10" t="n">
        <v>46124</v>
      </c>
      <c r="K57" s="8" t="n">
        <v>8.9</v>
      </c>
      <c r="L57" s="6" t="inlineStr"/>
      <c r="M57" s="7">
        <f>IF(L57&gt;0,(K57-L57)/K57*100,"")</f>
        <v/>
      </c>
    </row>
    <row r="58">
      <c r="A58" s="2" t="n">
        <v>57</v>
      </c>
      <c r="B58" s="2" t="inlineStr">
        <is>
          <t>140112</t>
        </is>
      </c>
      <c r="C58" s="2" t="inlineStr">
        <is>
          <t>CARTERA DOBLE CARA / BROCHE CORAZÒN</t>
        </is>
      </c>
      <c r="D58" s="2" t="inlineStr">
        <is>
          <t>Accesorios</t>
        </is>
      </c>
      <c r="E58" s="2" t="inlineStr">
        <is>
          <t>Accesorios Mujer</t>
        </is>
      </c>
      <c r="F58" s="2" t="inlineStr">
        <is>
          <t>Carteras</t>
        </is>
      </c>
      <c r="G58" s="3" t="n">
        <v>1435.31</v>
      </c>
      <c r="H58" s="4" t="n">
        <v>80</v>
      </c>
      <c r="I58" s="2" t="n">
        <v>29</v>
      </c>
      <c r="J58" s="5" t="n">
        <v>46150</v>
      </c>
      <c r="K58" s="3" t="n">
        <v>18.74</v>
      </c>
      <c r="L58" s="6" t="inlineStr"/>
      <c r="M58" s="7">
        <f>IF(L58&gt;0,(K58-L58)/K58*100,"")</f>
        <v/>
      </c>
    </row>
    <row r="59">
      <c r="A59" t="n">
        <v>58</v>
      </c>
      <c r="B59" t="inlineStr">
        <is>
          <t>2000020081</t>
        </is>
      </c>
      <c r="C59" t="inlineStr">
        <is>
          <t>SILICONA LÍQUIDA DE 250ML LAYCONSA</t>
        </is>
      </c>
      <c r="D59" t="inlineStr">
        <is>
          <t>Librería y Oficina</t>
        </is>
      </c>
      <c r="E59" t="inlineStr">
        <is>
          <t>Útiles Escolares</t>
        </is>
      </c>
      <c r="F59" t="inlineStr">
        <is>
          <t>Pegamentos y Silicona</t>
        </is>
      </c>
      <c r="G59" s="8" t="n">
        <v>1425.5</v>
      </c>
      <c r="H59" s="9" t="n">
        <v>288</v>
      </c>
      <c r="I59" t="n">
        <v>180</v>
      </c>
      <c r="J59" s="10" t="n">
        <v>46106</v>
      </c>
      <c r="K59" s="8" t="n">
        <v>4.98</v>
      </c>
      <c r="L59" s="6" t="inlineStr"/>
      <c r="M59" s="7">
        <f>IF(L59&gt;0,(K59-L59)/K59*100,"")</f>
        <v/>
      </c>
    </row>
    <row r="60">
      <c r="A60" s="2" t="n">
        <v>59</v>
      </c>
      <c r="B60" s="2" t="inlineStr">
        <is>
          <t>AR07003120</t>
        </is>
      </c>
      <c r="C60" s="2" t="inlineStr">
        <is>
          <t>PLUMON ARTESCO ACRILITE L123 ESTUCHE X 4 (CAJAX72)</t>
        </is>
      </c>
      <c r="D60" s="2" t="inlineStr">
        <is>
          <t>Librería y Oficina</t>
        </is>
      </c>
      <c r="E60" s="2" t="inlineStr">
        <is>
          <t>Útiles Escolares</t>
        </is>
      </c>
      <c r="F60" s="2" t="inlineStr">
        <is>
          <t>Plumones y Marcadores</t>
        </is>
      </c>
      <c r="G60" s="3" t="n">
        <v>1409.49</v>
      </c>
      <c r="H60" s="4" t="n">
        <v>187</v>
      </c>
      <c r="I60" s="2" t="n">
        <v>154</v>
      </c>
      <c r="J60" s="5" t="n">
        <v>46103</v>
      </c>
      <c r="K60" s="3" t="n">
        <v>7.64</v>
      </c>
      <c r="L60" s="6" t="inlineStr"/>
      <c r="M60" s="7">
        <f>IF(L60&gt;0,(K60-L60)/K60*100,"")</f>
        <v/>
      </c>
    </row>
    <row r="61">
      <c r="A61" t="n">
        <v>60</v>
      </c>
      <c r="B61" t="inlineStr">
        <is>
          <t>RKY-30</t>
        </is>
      </c>
      <c r="C61" t="inlineStr">
        <is>
          <t>ROMPECABEZAS KAYROS X 30 FICHAS</t>
        </is>
      </c>
      <c r="D61" t="inlineStr">
        <is>
          <t>Juguetes y Juegos</t>
        </is>
      </c>
      <c r="E61" t="inlineStr">
        <is>
          <t>Juguetes</t>
        </is>
      </c>
      <c r="F61" t="inlineStr">
        <is>
          <t>Juegos Didácticos</t>
        </is>
      </c>
      <c r="G61" s="8" t="n">
        <v>1374.7</v>
      </c>
      <c r="H61" s="9" t="n">
        <v>106</v>
      </c>
      <c r="I61" t="n">
        <v>88</v>
      </c>
      <c r="J61" s="10" t="n">
        <v>46110</v>
      </c>
      <c r="K61" s="8" t="n">
        <v>13.1</v>
      </c>
      <c r="L61" s="6" t="inlineStr"/>
      <c r="M61" s="7">
        <f>IF(L61&gt;0,(K61-L61)/K61*100,"")</f>
        <v/>
      </c>
    </row>
    <row r="62">
      <c r="A62" s="2" t="n">
        <v>61</v>
      </c>
      <c r="B62" s="2" t="inlineStr">
        <is>
          <t>MQ-25033</t>
        </is>
      </c>
      <c r="C62" s="2" t="inlineStr">
        <is>
          <t>SET OSITO CON ROSAS EN FORMA DE CORAZÒN</t>
        </is>
      </c>
      <c r="D62" s="2" t="inlineStr">
        <is>
          <t>Temporada y Celebraciones</t>
        </is>
      </c>
      <c r="E62" s="2" t="inlineStr">
        <is>
          <t>Regalos y Novedades</t>
        </is>
      </c>
      <c r="F62" s="2" t="inlineStr">
        <is>
          <t>Detalles dia madre</t>
        </is>
      </c>
      <c r="G62" s="3" t="n">
        <v>1368.14</v>
      </c>
      <c r="H62" s="4" t="n">
        <v>300</v>
      </c>
      <c r="I62" s="2" t="n">
        <v>94</v>
      </c>
      <c r="J62" s="5" t="n">
        <v>46151</v>
      </c>
      <c r="K62" s="3" t="n">
        <v>4.79</v>
      </c>
      <c r="L62" s="6" t="inlineStr"/>
      <c r="M62" s="7">
        <f>IF(L62&gt;0,(K62-L62)/K62*100,"")</f>
        <v/>
      </c>
    </row>
    <row r="63">
      <c r="A63" t="n">
        <v>62</v>
      </c>
      <c r="B63" t="inlineStr">
        <is>
          <t>MOL801856</t>
        </is>
      </c>
      <c r="C63" t="inlineStr">
        <is>
          <t>Biscocho Costa Cancún 6x33Gr</t>
        </is>
      </c>
      <c r="D63" t="inlineStr">
        <is>
          <t>Abarrotes</t>
        </is>
      </c>
      <c r="E63" t="inlineStr">
        <is>
          <t>Dulces y Chocolates</t>
        </is>
      </c>
      <c r="F63" t="inlineStr">
        <is>
          <t>Bizcochos y Panetelas</t>
        </is>
      </c>
      <c r="G63" s="8" t="n">
        <v>1342.6</v>
      </c>
      <c r="H63" s="9" t="n">
        <v>274</v>
      </c>
      <c r="I63" t="n">
        <v>262</v>
      </c>
      <c r="J63" s="10" t="n">
        <v>46150</v>
      </c>
      <c r="K63" s="8" t="n">
        <v>4.9</v>
      </c>
      <c r="L63" s="6" t="inlineStr"/>
      <c r="M63" s="7">
        <f>IF(L63&gt;0,(K63-L63)/K63*100,"")</f>
        <v/>
      </c>
    </row>
    <row r="64">
      <c r="A64" s="2" t="n">
        <v>63</v>
      </c>
      <c r="B64" s="2" t="inlineStr">
        <is>
          <t>16314000</t>
        </is>
      </c>
      <c r="C64" s="2" t="inlineStr">
        <is>
          <t>CRAYOLAS ARTESCO KIDS JUMBO X 12 (CAJAX144)</t>
        </is>
      </c>
      <c r="D64" s="2" t="inlineStr">
        <is>
          <t>Librería y Oficina</t>
        </is>
      </c>
      <c r="E64" s="2" t="inlineStr">
        <is>
          <t>Útiles Escolares</t>
        </is>
      </c>
      <c r="F64" s="2" t="inlineStr">
        <is>
          <t>Colores y Crayolas</t>
        </is>
      </c>
      <c r="G64" s="3" t="n">
        <v>1292.98</v>
      </c>
      <c r="H64" s="4" t="n">
        <v>259</v>
      </c>
      <c r="I64" s="2" t="n">
        <v>139</v>
      </c>
      <c r="J64" s="5" t="n">
        <v>46124</v>
      </c>
      <c r="K64" s="3" t="n">
        <v>5.07</v>
      </c>
      <c r="L64" s="6" t="inlineStr"/>
      <c r="M64" s="7">
        <f>IF(L64&gt;0,(K64-L64)/K64*100,"")</f>
        <v/>
      </c>
    </row>
    <row r="65">
      <c r="A65" t="n">
        <v>64</v>
      </c>
      <c r="B65" t="inlineStr">
        <is>
          <t>9493</t>
        </is>
      </c>
      <c r="C65" t="inlineStr">
        <is>
          <t>TEMPERA X 7 FAB</t>
        </is>
      </c>
      <c r="D65" t="inlineStr">
        <is>
          <t>Librería y Oficina</t>
        </is>
      </c>
      <c r="E65" t="inlineStr">
        <is>
          <t>Útiles Escolares</t>
        </is>
      </c>
      <c r="F65" t="inlineStr">
        <is>
          <t>Témperas y Pinturas</t>
        </is>
      </c>
      <c r="G65" s="8" t="n">
        <v>1292.8</v>
      </c>
      <c r="H65" s="9" t="n">
        <v>154</v>
      </c>
      <c r="I65" t="n">
        <v>120</v>
      </c>
      <c r="J65" s="10" t="n">
        <v>46108</v>
      </c>
      <c r="K65" s="8" t="n">
        <v>8.460000000000001</v>
      </c>
      <c r="L65" s="6" t="inlineStr"/>
      <c r="M65" s="7">
        <f>IF(L65&gt;0,(K65-L65)/K65*100,"")</f>
        <v/>
      </c>
    </row>
    <row r="66">
      <c r="A66" s="2" t="n">
        <v>65</v>
      </c>
      <c r="B66" s="2" t="inlineStr">
        <is>
          <t>TS-55</t>
        </is>
      </c>
      <c r="C66" s="2" t="inlineStr">
        <is>
          <t>Set paños Colores lineales</t>
        </is>
      </c>
      <c r="D66" s="2" t="inlineStr">
        <is>
          <t>Librería y Oficina</t>
        </is>
      </c>
      <c r="E66" s="2" t="inlineStr">
        <is>
          <t>Útiles Escolares</t>
        </is>
      </c>
      <c r="F66" s="2" t="inlineStr">
        <is>
          <t>Colores y Crayolas</t>
        </is>
      </c>
      <c r="G66" s="3" t="n">
        <v>1290.9</v>
      </c>
      <c r="H66" s="4" t="n">
        <v>587</v>
      </c>
      <c r="I66" s="2" t="n">
        <v>547</v>
      </c>
      <c r="J66" s="5" t="n">
        <v>46128</v>
      </c>
      <c r="K66" s="3" t="n">
        <v>2.2</v>
      </c>
      <c r="L66" s="6" t="inlineStr"/>
      <c r="M66" s="7">
        <f>IF(L66&gt;0,(K66-L66)/K66*100,"")</f>
        <v/>
      </c>
    </row>
    <row r="67">
      <c r="A67" t="n">
        <v>66</v>
      </c>
      <c r="B67" t="inlineStr">
        <is>
          <t>75891958890540</t>
        </is>
      </c>
      <c r="C67" t="inlineStr">
        <is>
          <t>Lava Vajilla en Pasta Patito Limón 1Kg (PQTX12)</t>
        </is>
      </c>
      <c r="D67" t="inlineStr">
        <is>
          <t>Limpieza</t>
        </is>
      </c>
      <c r="E67" t="inlineStr">
        <is>
          <t>Lavavajillas</t>
        </is>
      </c>
      <c r="F67" t="inlineStr">
        <is>
          <t>Lavavajillas en Pasta</t>
        </is>
      </c>
      <c r="G67" s="8" t="n">
        <v>1286.2</v>
      </c>
      <c r="H67" s="9" t="n">
        <v>218</v>
      </c>
      <c r="I67" t="n">
        <v>207</v>
      </c>
      <c r="J67" s="10" t="n">
        <v>46178</v>
      </c>
      <c r="K67" s="8" t="n">
        <v>5.9</v>
      </c>
      <c r="L67" s="6" t="inlineStr"/>
      <c r="M67" s="7">
        <f>IF(L67&gt;0,(K67-L67)/K67*100,"")</f>
        <v/>
      </c>
    </row>
    <row r="68">
      <c r="A68" s="2" t="n">
        <v>67</v>
      </c>
      <c r="B68" s="2" t="inlineStr">
        <is>
          <t>2110030001</t>
        </is>
      </c>
      <c r="C68" s="2" t="inlineStr">
        <is>
          <t>TÉMPERAS LAYCONSA PUPPY SET X7</t>
        </is>
      </c>
      <c r="D68" s="2" t="inlineStr">
        <is>
          <t>Librería y Oficina</t>
        </is>
      </c>
      <c r="E68" s="2" t="inlineStr">
        <is>
          <t>Útiles Escolares</t>
        </is>
      </c>
      <c r="F68" s="2" t="inlineStr">
        <is>
          <t>Témperas y Pinturas</t>
        </is>
      </c>
      <c r="G68" s="3" t="n">
        <v>1274.18</v>
      </c>
      <c r="H68" s="4" t="n">
        <v>179</v>
      </c>
      <c r="I68" s="2" t="n">
        <v>150</v>
      </c>
      <c r="J68" s="5" t="n">
        <v>46104</v>
      </c>
      <c r="K68" s="3" t="n">
        <v>7.16</v>
      </c>
      <c r="L68" s="6" t="inlineStr"/>
      <c r="M68" s="7">
        <f>IF(L68&gt;0,(K68-L68)/K68*100,"")</f>
        <v/>
      </c>
    </row>
    <row r="69">
      <c r="A69" t="n">
        <v>68</v>
      </c>
      <c r="B69" t="inlineStr">
        <is>
          <t>60380</t>
        </is>
      </c>
      <c r="C69" t="inlineStr">
        <is>
          <t>BYWIN HISOPOS X 505 UND</t>
        </is>
      </c>
      <c r="D69" t="inlineStr">
        <is>
          <t>Cuidado Personal y Salud</t>
        </is>
      </c>
      <c r="E69" t="inlineStr">
        <is>
          <t>Higiene Personal</t>
        </is>
      </c>
      <c r="F69" t="inlineStr">
        <is>
          <t>Hisopos</t>
        </is>
      </c>
      <c r="G69" s="8" t="n">
        <v>1262.01</v>
      </c>
      <c r="H69" s="9" t="n">
        <v>183</v>
      </c>
      <c r="I69" t="n">
        <v>150</v>
      </c>
      <c r="J69" s="10" t="n">
        <v>46114</v>
      </c>
      <c r="K69" s="8" t="n">
        <v>6.9</v>
      </c>
      <c r="L69" s="6" t="inlineStr"/>
      <c r="M69" s="7">
        <f>IF(L69&gt;0,(K69-L69)/K69*100,"")</f>
        <v/>
      </c>
    </row>
    <row r="70">
      <c r="A70" s="2" t="n">
        <v>69</v>
      </c>
      <c r="B70" s="2" t="inlineStr">
        <is>
          <t>MER-1560</t>
        </is>
      </c>
      <c r="C70" s="2" t="inlineStr">
        <is>
          <t>CORRECTOR X2 MERCYFAND</t>
        </is>
      </c>
      <c r="D70" s="2" t="inlineStr">
        <is>
          <t>Librería y Oficina</t>
        </is>
      </c>
      <c r="E70" s="2" t="inlineStr">
        <is>
          <t>Útiles Escolares</t>
        </is>
      </c>
      <c r="F70" s="2" t="inlineStr">
        <is>
          <t>Correctores</t>
        </is>
      </c>
      <c r="G70" s="3" t="n">
        <v>1224.39</v>
      </c>
      <c r="H70" s="4" t="n">
        <v>650</v>
      </c>
      <c r="I70" s="2" t="n">
        <v>515</v>
      </c>
      <c r="J70" s="5" t="n">
        <v>46130</v>
      </c>
      <c r="K70" s="3" t="n">
        <v>1.9</v>
      </c>
      <c r="L70" s="6" t="inlineStr"/>
      <c r="M70" s="7">
        <f>IF(L70&gt;0,(K70-L70)/K70*100,"")</f>
        <v/>
      </c>
    </row>
    <row r="71">
      <c r="A71" t="n">
        <v>70</v>
      </c>
      <c r="B71" t="inlineStr">
        <is>
          <t>CC-A4</t>
        </is>
      </c>
      <c r="C71" t="inlineStr">
        <is>
          <t>Cartulina Color A4 x100pliegos</t>
        </is>
      </c>
      <c r="D71" t="inlineStr">
        <is>
          <t>Librería y Oficina</t>
        </is>
      </c>
      <c r="E71" t="inlineStr">
        <is>
          <t>Útiles Escolares</t>
        </is>
      </c>
      <c r="F71" t="inlineStr">
        <is>
          <t>Papeles y Cartulinas</t>
        </is>
      </c>
      <c r="G71" s="8" t="n">
        <v>1211.64</v>
      </c>
      <c r="H71" s="9" t="n">
        <v>67</v>
      </c>
      <c r="I71" t="n">
        <v>65</v>
      </c>
      <c r="J71" s="10" t="n">
        <v>46131</v>
      </c>
      <c r="K71" s="8" t="n">
        <v>18.12</v>
      </c>
      <c r="L71" s="6" t="inlineStr"/>
      <c r="M71" s="7">
        <f>IF(L71&gt;0,(K71-L71)/K71*100,"")</f>
        <v/>
      </c>
    </row>
    <row r="72">
      <c r="A72" s="2" t="n">
        <v>71</v>
      </c>
      <c r="B72" s="2" t="inlineStr">
        <is>
          <t>BXW-012</t>
        </is>
      </c>
      <c r="C72" s="2" t="inlineStr">
        <is>
          <t>Taper de vidrio rectángulo ediano</t>
        </is>
      </c>
      <c r="D72" s="2" t="n"/>
      <c r="E72" s="2" t="n"/>
      <c r="F72" s="2" t="n"/>
      <c r="G72" s="3" t="n">
        <v>1211.42</v>
      </c>
      <c r="H72" s="4" t="n">
        <v>143</v>
      </c>
      <c r="I72" s="2" t="n">
        <v>126</v>
      </c>
      <c r="J72" s="5" t="n">
        <v>46119</v>
      </c>
      <c r="K72" s="3" t="n">
        <v>8.49</v>
      </c>
      <c r="L72" s="6" t="inlineStr"/>
      <c r="M72" s="7">
        <f>IF(L72&gt;0,(K72-L72)/K72*100,"")</f>
        <v/>
      </c>
    </row>
    <row r="73">
      <c r="A73" t="n">
        <v>72</v>
      </c>
      <c r="B73" t="inlineStr">
        <is>
          <t>L-ESCOLAR</t>
        </is>
      </c>
      <c r="C73" t="inlineStr">
        <is>
          <t>PAPEL LUSTRE ESCOLAR 5CX100)</t>
        </is>
      </c>
      <c r="D73" t="inlineStr">
        <is>
          <t>Librería y Oficina</t>
        </is>
      </c>
      <c r="E73" t="inlineStr">
        <is>
          <t>Útiles Escolares</t>
        </is>
      </c>
      <c r="F73" t="inlineStr">
        <is>
          <t>Papeles y Cartulinas</t>
        </is>
      </c>
      <c r="G73" s="8" t="n">
        <v>1193.26</v>
      </c>
      <c r="H73" s="9" t="n">
        <v>3040</v>
      </c>
      <c r="I73" t="n">
        <v>785</v>
      </c>
      <c r="J73" s="10" t="n">
        <v>46176</v>
      </c>
      <c r="K73" s="8" t="n">
        <v>0.4</v>
      </c>
      <c r="L73" s="6" t="inlineStr"/>
      <c r="M73" s="7">
        <f>IF(L73&gt;0,(K73-L73)/K73*100,"")</f>
        <v/>
      </c>
    </row>
    <row r="74">
      <c r="A74" s="2" t="n">
        <v>73</v>
      </c>
      <c r="B74" s="2" t="inlineStr">
        <is>
          <t>MEKA-03</t>
        </is>
      </c>
      <c r="C74" s="2" t="inlineStr">
        <is>
          <t>TEMPERA APLICADOR 250ML MERCYFAND</t>
        </is>
      </c>
      <c r="D74" s="2" t="inlineStr">
        <is>
          <t>Librería y Oficina</t>
        </is>
      </c>
      <c r="E74" s="2" t="inlineStr">
        <is>
          <t>Útiles Escolares</t>
        </is>
      </c>
      <c r="F74" s="2" t="inlineStr">
        <is>
          <t>Témperas y Pinturas</t>
        </is>
      </c>
      <c r="G74" s="3" t="n">
        <v>1181.1</v>
      </c>
      <c r="H74" s="4" t="n">
        <v>222</v>
      </c>
      <c r="I74" s="2" t="n">
        <v>112</v>
      </c>
      <c r="J74" s="5" t="n">
        <v>46156</v>
      </c>
      <c r="K74" s="3" t="n">
        <v>5.35</v>
      </c>
      <c r="L74" s="6" t="inlineStr"/>
      <c r="M74" s="7">
        <f>IF(L74&gt;0,(K74-L74)/K74*100,"")</f>
        <v/>
      </c>
    </row>
    <row r="75">
      <c r="A75" t="n">
        <v>74</v>
      </c>
      <c r="B75" t="inlineStr">
        <is>
          <t>MOL801850</t>
        </is>
      </c>
      <c r="C75" t="inlineStr">
        <is>
          <t>Biscocho Costa Caritas 6x47Gr</t>
        </is>
      </c>
      <c r="D75" t="inlineStr">
        <is>
          <t>Abarrotes</t>
        </is>
      </c>
      <c r="E75" t="inlineStr">
        <is>
          <t>Dulces y Chocolates</t>
        </is>
      </c>
      <c r="F75" t="inlineStr">
        <is>
          <t>Bizcochos y Panetelas</t>
        </is>
      </c>
      <c r="G75" s="8" t="n">
        <v>1170</v>
      </c>
      <c r="H75" s="9" t="n">
        <v>156</v>
      </c>
      <c r="I75" t="n">
        <v>151</v>
      </c>
      <c r="J75" s="10" t="n">
        <v>46160</v>
      </c>
      <c r="K75" s="8" t="n">
        <v>7.5</v>
      </c>
      <c r="L75" s="6" t="inlineStr"/>
      <c r="M75" s="7">
        <f>IF(L75&gt;0,(K75-L75)/K75*100,"")</f>
        <v/>
      </c>
    </row>
    <row r="76">
      <c r="A76" s="2" t="n">
        <v>75</v>
      </c>
      <c r="B76" s="2" t="inlineStr">
        <is>
          <t>MQ-25107</t>
        </is>
      </c>
      <c r="C76" s="2" t="inlineStr">
        <is>
          <t>SET DE REGALO OSO CON FLORES CAJA</t>
        </is>
      </c>
      <c r="D76" s="2" t="inlineStr">
        <is>
          <t>Temporada y Celebraciones</t>
        </is>
      </c>
      <c r="E76" s="2" t="inlineStr">
        <is>
          <t>Regalos y Novedades</t>
        </is>
      </c>
      <c r="F76" s="2" t="inlineStr">
        <is>
          <t>Detalles dia madre</t>
        </is>
      </c>
      <c r="G76" s="3" t="n">
        <v>1163.5</v>
      </c>
      <c r="H76" s="4" t="n">
        <v>72</v>
      </c>
      <c r="I76" s="2" t="n">
        <v>41</v>
      </c>
      <c r="J76" s="5" t="n">
        <v>46150</v>
      </c>
      <c r="K76" s="3" t="n">
        <v>16.41</v>
      </c>
      <c r="L76" s="6" t="inlineStr"/>
      <c r="M76" s="7">
        <f>IF(L76&gt;0,(K76-L76)/K76*100,"")</f>
        <v/>
      </c>
    </row>
    <row r="77">
      <c r="A77" t="n">
        <v>76</v>
      </c>
      <c r="B77" t="inlineStr">
        <is>
          <t>170211</t>
        </is>
      </c>
      <c r="C77" t="inlineStr">
        <is>
          <t>PLUMON FAB 45 X 12 EST CARTON(1CX96)</t>
        </is>
      </c>
      <c r="D77" t="inlineStr">
        <is>
          <t>Librería y Oficina</t>
        </is>
      </c>
      <c r="E77" t="inlineStr">
        <is>
          <t>Útiles Escolares</t>
        </is>
      </c>
      <c r="F77" t="inlineStr">
        <is>
          <t>Plumones y Marcadores</t>
        </is>
      </c>
      <c r="G77" s="8" t="n">
        <v>1153.72</v>
      </c>
      <c r="H77" s="9" t="n">
        <v>176</v>
      </c>
      <c r="I77" t="n">
        <v>154</v>
      </c>
      <c r="J77" s="10" t="n">
        <v>46103</v>
      </c>
      <c r="K77" s="8" t="n">
        <v>6.59</v>
      </c>
      <c r="L77" s="6" t="inlineStr"/>
      <c r="M77" s="7">
        <f>IF(L77&gt;0,(K77-L77)/K77*100,"")</f>
        <v/>
      </c>
    </row>
    <row r="78">
      <c r="A78" s="2" t="n">
        <v>77</v>
      </c>
      <c r="B78" s="2" t="inlineStr">
        <is>
          <t>MAQ 10</t>
        </is>
      </c>
      <c r="C78" s="2" t="inlineStr">
        <is>
          <t>MASCARILLA VARIADO PyW</t>
        </is>
      </c>
      <c r="D78" s="2" t="inlineStr">
        <is>
          <t>Belleza</t>
        </is>
      </c>
      <c r="E78" s="2" t="inlineStr">
        <is>
          <t>Cuidado Facial</t>
        </is>
      </c>
      <c r="F78" s="2" t="inlineStr">
        <is>
          <t>Mascarillas Faciales</t>
        </is>
      </c>
      <c r="G78" s="3" t="n">
        <v>1150</v>
      </c>
      <c r="H78" s="4" t="n">
        <v>460</v>
      </c>
      <c r="I78" s="2" t="n">
        <v>318</v>
      </c>
      <c r="J78" s="5" t="n">
        <v>46127</v>
      </c>
      <c r="K78" s="3" t="n">
        <v>2.5</v>
      </c>
      <c r="L78" s="6" t="inlineStr"/>
      <c r="M78" s="7">
        <f>IF(L78&gt;0,(K78-L78)/K78*100,"")</f>
        <v/>
      </c>
    </row>
    <row r="79">
      <c r="A79" t="n">
        <v>78</v>
      </c>
      <c r="B79" t="inlineStr">
        <is>
          <t>MER36-12</t>
        </is>
      </c>
      <c r="C79" t="inlineStr">
        <is>
          <t>SET PLUMON JUMBO X12</t>
        </is>
      </c>
      <c r="D79" t="inlineStr">
        <is>
          <t>Librería y Oficina</t>
        </is>
      </c>
      <c r="E79" t="inlineStr">
        <is>
          <t>Útiles Escolares</t>
        </is>
      </c>
      <c r="F79" t="inlineStr">
        <is>
          <t>Plumones y Marcadores</t>
        </is>
      </c>
      <c r="G79" s="8" t="n">
        <v>1145.76</v>
      </c>
      <c r="H79" s="9" t="n">
        <v>110</v>
      </c>
      <c r="I79" t="n">
        <v>92</v>
      </c>
      <c r="J79" s="10" t="n">
        <v>46106</v>
      </c>
      <c r="K79" s="8" t="n">
        <v>10.45</v>
      </c>
      <c r="L79" s="6" t="inlineStr"/>
      <c r="M79" s="7">
        <f>IF(L79&gt;0,(K79-L79)/K79*100,"")</f>
        <v/>
      </c>
    </row>
    <row r="80">
      <c r="A80" s="2" t="n">
        <v>79</v>
      </c>
      <c r="B80" s="2" t="inlineStr">
        <is>
          <t>MER35-12</t>
        </is>
      </c>
      <c r="C80" s="2" t="inlineStr">
        <is>
          <t>SET PLUMON JUMBO X6</t>
        </is>
      </c>
      <c r="D80" s="2" t="inlineStr">
        <is>
          <t>Librería y Oficina</t>
        </is>
      </c>
      <c r="E80" s="2" t="inlineStr">
        <is>
          <t>Útiles Escolares</t>
        </is>
      </c>
      <c r="F80" s="2" t="inlineStr">
        <is>
          <t>Plumones y Marcadores</t>
        </is>
      </c>
      <c r="G80" s="3" t="n">
        <v>1132.82</v>
      </c>
      <c r="H80" s="4" t="n">
        <v>219</v>
      </c>
      <c r="I80" s="2" t="n">
        <v>192</v>
      </c>
      <c r="J80" s="5" t="n">
        <v>46109</v>
      </c>
      <c r="K80" s="3" t="n">
        <v>5.19</v>
      </c>
      <c r="L80" s="6" t="inlineStr"/>
      <c r="M80" s="7">
        <f>IF(L80&gt;0,(K80-L80)/K80*100,"")</f>
        <v/>
      </c>
    </row>
    <row r="81">
      <c r="A81" t="n">
        <v>80</v>
      </c>
      <c r="B81" t="inlineStr">
        <is>
          <t>TV-8</t>
        </is>
      </c>
      <c r="C81" t="inlineStr">
        <is>
          <t>Licuadora portátil recargable</t>
        </is>
      </c>
      <c r="D81" t="inlineStr">
        <is>
          <t>Electrohogar</t>
        </is>
      </c>
      <c r="E81" t="inlineStr">
        <is>
          <t>Electrodomésticos de Cocina</t>
        </is>
      </c>
      <c r="F81" t="inlineStr">
        <is>
          <t>Licuadoras</t>
        </is>
      </c>
      <c r="G81" s="8" t="n">
        <v>1112</v>
      </c>
      <c r="H81" s="9" t="n">
        <v>80</v>
      </c>
      <c r="I81" t="n">
        <v>76</v>
      </c>
      <c r="J81" s="10" t="n">
        <v>46156</v>
      </c>
      <c r="K81" s="8" t="n">
        <v>13.9</v>
      </c>
      <c r="L81" s="6" t="inlineStr"/>
      <c r="M81" s="7">
        <f>IF(L81&gt;0,(K81-L81)/K81*100,"")</f>
        <v/>
      </c>
    </row>
    <row r="82">
      <c r="A82" s="2" t="n">
        <v>81</v>
      </c>
      <c r="B82" s="2" t="inlineStr">
        <is>
          <t>W5543</t>
        </is>
      </c>
      <c r="C82" s="2" t="inlineStr">
        <is>
          <t>CARTUCHERA 3D NIÑOS</t>
        </is>
      </c>
      <c r="D82" s="2" t="inlineStr">
        <is>
          <t>Librería y Oficina</t>
        </is>
      </c>
      <c r="E82" s="2" t="inlineStr">
        <is>
          <t>Mochilas y Cartucheras</t>
        </is>
      </c>
      <c r="F82" s="2" t="inlineStr">
        <is>
          <t>Cartucheras</t>
        </is>
      </c>
      <c r="G82" s="3" t="n">
        <v>1109.35</v>
      </c>
      <c r="H82" s="4" t="n">
        <v>205</v>
      </c>
      <c r="I82" s="2" t="n">
        <v>138</v>
      </c>
      <c r="J82" s="5" t="n">
        <v>46119</v>
      </c>
      <c r="K82" s="3" t="n">
        <v>5.49</v>
      </c>
      <c r="L82" s="6" t="inlineStr"/>
      <c r="M82" s="7">
        <f>IF(L82&gt;0,(K82-L82)/K82*100,"")</f>
        <v/>
      </c>
    </row>
    <row r="83">
      <c r="A83" t="n">
        <v>82</v>
      </c>
      <c r="B83" t="inlineStr">
        <is>
          <t>FXT-2289</t>
        </is>
      </c>
      <c r="C83" t="inlineStr">
        <is>
          <t>ALFOMBRA GRANDE</t>
        </is>
      </c>
      <c r="D83" t="inlineStr">
        <is>
          <t>Hogar y Decoración</t>
        </is>
      </c>
      <c r="E83" t="inlineStr">
        <is>
          <t>Decoración</t>
        </is>
      </c>
      <c r="F83" t="inlineStr">
        <is>
          <t>Alfombras y Tapetes</t>
        </is>
      </c>
      <c r="G83" s="8" t="n">
        <v>1103.31</v>
      </c>
      <c r="H83" s="9" t="n">
        <v>37</v>
      </c>
      <c r="I83" t="n">
        <v>34</v>
      </c>
      <c r="J83" s="10" t="n">
        <v>46135</v>
      </c>
      <c r="K83" s="8" t="n">
        <v>29.81</v>
      </c>
      <c r="L83" s="6" t="inlineStr"/>
      <c r="M83" s="7">
        <f>IF(L83&gt;0,(K83-L83)/K83*100,"")</f>
        <v/>
      </c>
    </row>
    <row r="84">
      <c r="A84" s="2" t="n">
        <v>83</v>
      </c>
      <c r="B84" s="2" t="inlineStr">
        <is>
          <t>GH933-12DF</t>
        </is>
      </c>
      <c r="C84" s="2" t="inlineStr">
        <is>
          <t>SET PLUMON AFRUTADO X12</t>
        </is>
      </c>
      <c r="D84" s="2" t="inlineStr">
        <is>
          <t>Librería y Oficina</t>
        </is>
      </c>
      <c r="E84" s="2" t="inlineStr">
        <is>
          <t>Útiles Escolares</t>
        </is>
      </c>
      <c r="F84" s="2" t="inlineStr">
        <is>
          <t>Plumones y Marcadores</t>
        </is>
      </c>
      <c r="G84" s="3" t="n">
        <v>1086.28</v>
      </c>
      <c r="H84" s="4" t="n">
        <v>168</v>
      </c>
      <c r="I84" s="2" t="n">
        <v>152</v>
      </c>
      <c r="J84" s="5" t="n">
        <v>46117</v>
      </c>
      <c r="K84" s="3" t="n">
        <v>6.48</v>
      </c>
      <c r="L84" s="6" t="inlineStr"/>
      <c r="M84" s="7">
        <f>IF(L84&gt;0,(K84-L84)/K84*100,"")</f>
        <v/>
      </c>
    </row>
    <row r="85">
      <c r="A85" t="n">
        <v>84</v>
      </c>
      <c r="B85" t="inlineStr">
        <is>
          <t>R7816</t>
        </is>
      </c>
      <c r="C85" t="inlineStr">
        <is>
          <t>Hervidora Electrica RAF</t>
        </is>
      </c>
      <c r="D85" t="inlineStr">
        <is>
          <t>Electrohogar</t>
        </is>
      </c>
      <c r="E85" t="inlineStr">
        <is>
          <t>Electrodomésticos de Cocina</t>
        </is>
      </c>
      <c r="F85" t="inlineStr">
        <is>
          <t>Hervidores</t>
        </is>
      </c>
      <c r="G85" s="8" t="n">
        <v>1080</v>
      </c>
      <c r="H85" s="9" t="n">
        <v>48</v>
      </c>
      <c r="I85" t="n">
        <v>48</v>
      </c>
      <c r="J85" s="10" t="n">
        <v>46166</v>
      </c>
      <c r="K85" s="8" t="n">
        <v>22.5</v>
      </c>
      <c r="L85" s="6" t="inlineStr"/>
      <c r="M85" s="7">
        <f>IF(L85&gt;0,(K85-L85)/K85*100,"")</f>
        <v/>
      </c>
    </row>
    <row r="86">
      <c r="A86" s="2" t="n">
        <v>85</v>
      </c>
      <c r="B86" s="2" t="inlineStr">
        <is>
          <t>2110020095</t>
        </is>
      </c>
      <c r="C86" s="2" t="inlineStr">
        <is>
          <t>PLUMONES LAYCONSA SCHOOL 45 ESTUCHE X 12</t>
        </is>
      </c>
      <c r="D86" s="2" t="inlineStr">
        <is>
          <t>Librería y Oficina</t>
        </is>
      </c>
      <c r="E86" s="2" t="inlineStr">
        <is>
          <t>Útiles Escolares</t>
        </is>
      </c>
      <c r="F86" s="2" t="inlineStr">
        <is>
          <t>Plumones y Marcadores</t>
        </is>
      </c>
      <c r="G86" s="3" t="n">
        <v>1071.55</v>
      </c>
      <c r="H86" s="4" t="n">
        <v>216</v>
      </c>
      <c r="I86" s="2" t="n">
        <v>187</v>
      </c>
      <c r="J86" s="5" t="n">
        <v>46167</v>
      </c>
      <c r="K86" s="3" t="n">
        <v>4.97</v>
      </c>
      <c r="L86" s="6" t="inlineStr"/>
      <c r="M86" s="7">
        <f>IF(L86&gt;0,(K86-L86)/K86*100,"")</f>
        <v/>
      </c>
    </row>
    <row r="87">
      <c r="A87" t="n">
        <v>86</v>
      </c>
      <c r="B87" t="inlineStr">
        <is>
          <t>GF-3820</t>
        </is>
      </c>
      <c r="C87" t="inlineStr">
        <is>
          <t>CARTERA</t>
        </is>
      </c>
      <c r="D87" t="inlineStr">
        <is>
          <t>Accesorios</t>
        </is>
      </c>
      <c r="E87" t="inlineStr">
        <is>
          <t>Accesorios Mujer</t>
        </is>
      </c>
      <c r="F87" t="inlineStr">
        <is>
          <t>Carteras</t>
        </is>
      </c>
      <c r="G87" s="8" t="n">
        <v>1070.62</v>
      </c>
      <c r="H87" s="9" t="n">
        <v>54</v>
      </c>
      <c r="I87" t="n">
        <v>50</v>
      </c>
      <c r="J87" s="10" t="n">
        <v>46139</v>
      </c>
      <c r="K87" s="8" t="n">
        <v>19.82</v>
      </c>
      <c r="L87" s="6" t="inlineStr"/>
      <c r="M87" s="7">
        <f>IF(L87&gt;0,(K87-L87)/K87*100,"")</f>
        <v/>
      </c>
    </row>
    <row r="88">
      <c r="A88" s="2" t="n">
        <v>87</v>
      </c>
      <c r="B88" s="2" t="inlineStr">
        <is>
          <t>PB-A</t>
        </is>
      </c>
      <c r="C88" s="2" t="inlineStr">
        <is>
          <t>PALITO BAJALENGUA</t>
        </is>
      </c>
      <c r="D88" s="2" t="inlineStr">
        <is>
          <t>Librería y Oficina</t>
        </is>
      </c>
      <c r="E88" s="2" t="inlineStr">
        <is>
          <t>Útiles Escolares</t>
        </is>
      </c>
      <c r="F88" s="2" t="inlineStr">
        <is>
          <t>Papelería Variada</t>
        </is>
      </c>
      <c r="G88" s="3" t="n">
        <v>1063.51</v>
      </c>
      <c r="H88" s="4" t="n">
        <v>426</v>
      </c>
      <c r="I88" s="2" t="n">
        <v>267</v>
      </c>
      <c r="J88" s="5" t="n">
        <v>46123</v>
      </c>
      <c r="K88" s="3" t="n">
        <v>2.5</v>
      </c>
      <c r="L88" s="6" t="inlineStr"/>
      <c r="M88" s="7">
        <f>IF(L88&gt;0,(K88-L88)/K88*100,"")</f>
        <v/>
      </c>
    </row>
    <row r="89">
      <c r="A89" t="n">
        <v>88</v>
      </c>
      <c r="B89" t="inlineStr">
        <is>
          <t>7754005019231</t>
        </is>
      </c>
      <c r="C89" t="inlineStr">
        <is>
          <t>CINTA EMBALAJE PEGAFAN 2 X 110 yds</t>
        </is>
      </c>
      <c r="D89" t="inlineStr">
        <is>
          <t>Librería y Oficina</t>
        </is>
      </c>
      <c r="E89" t="inlineStr">
        <is>
          <t>Útiles Escolares</t>
        </is>
      </c>
      <c r="F89" t="inlineStr">
        <is>
          <t>Cintas y Contact</t>
        </is>
      </c>
      <c r="G89" s="8" t="n">
        <v>1061.35</v>
      </c>
      <c r="H89" s="9" t="n">
        <v>217</v>
      </c>
      <c r="I89" t="n">
        <v>173</v>
      </c>
      <c r="J89" s="10" t="n">
        <v>46123</v>
      </c>
      <c r="K89" s="8" t="n">
        <v>4.89</v>
      </c>
      <c r="L89" s="6" t="inlineStr"/>
      <c r="M89" s="7">
        <f>IF(L89&gt;0,(K89-L89)/K89*100,"")</f>
        <v/>
      </c>
    </row>
    <row r="90">
      <c r="A90" s="2" t="n">
        <v>89</v>
      </c>
      <c r="B90" s="2" t="inlineStr">
        <is>
          <t>140406</t>
        </is>
      </c>
      <c r="C90" s="2" t="inlineStr">
        <is>
          <t>BILLETERA X 120 PZS</t>
        </is>
      </c>
      <c r="D90" s="2" t="inlineStr">
        <is>
          <t>Accesorios</t>
        </is>
      </c>
      <c r="E90" s="2" t="inlineStr">
        <is>
          <t>Accesorios Mujer</t>
        </is>
      </c>
      <c r="F90" s="2" t="inlineStr">
        <is>
          <t>Billetera</t>
        </is>
      </c>
      <c r="G90" s="3" t="n">
        <v>1058.3</v>
      </c>
      <c r="H90" s="4" t="n">
        <v>111</v>
      </c>
      <c r="I90" s="2" t="n">
        <v>52</v>
      </c>
      <c r="J90" s="5" t="n">
        <v>46147</v>
      </c>
      <c r="K90" s="3" t="n">
        <v>9.82</v>
      </c>
      <c r="L90" s="6" t="inlineStr"/>
      <c r="M90" s="7">
        <f>IF(L90&gt;0,(K90-L90)/K90*100,"")</f>
        <v/>
      </c>
    </row>
    <row r="91">
      <c r="A91" t="n">
        <v>90</v>
      </c>
      <c r="B91" t="inlineStr">
        <is>
          <t>MEKA-07</t>
        </is>
      </c>
      <c r="C91" t="inlineStr">
        <is>
          <t>SET PLUMON PAPEL EN CAJA X12</t>
        </is>
      </c>
      <c r="D91" t="inlineStr">
        <is>
          <t>Librería y Oficina</t>
        </is>
      </c>
      <c r="E91" t="inlineStr">
        <is>
          <t>Útiles Escolares</t>
        </is>
      </c>
      <c r="F91" t="inlineStr">
        <is>
          <t>Plumones y Marcadores</t>
        </is>
      </c>
      <c r="G91" s="8" t="n">
        <v>1047.34</v>
      </c>
      <c r="H91" s="9" t="n">
        <v>123</v>
      </c>
      <c r="I91" t="n">
        <v>95</v>
      </c>
      <c r="J91" s="10" t="n">
        <v>46108</v>
      </c>
      <c r="K91" s="8" t="n">
        <v>8.57</v>
      </c>
      <c r="L91" s="6" t="inlineStr"/>
      <c r="M91" s="7">
        <f>IF(L91&gt;0,(K91-L91)/K91*100,"")</f>
        <v/>
      </c>
    </row>
    <row r="92">
      <c r="A92" s="2" t="n">
        <v>91</v>
      </c>
      <c r="B92" s="2" t="inlineStr">
        <is>
          <t>75891958954953</t>
        </is>
      </c>
      <c r="C92" s="2" t="inlineStr">
        <is>
          <t>Biscoccho Costa Pokeke 6x33Gr.</t>
        </is>
      </c>
      <c r="D92" s="2" t="inlineStr">
        <is>
          <t>Abarrotes</t>
        </is>
      </c>
      <c r="E92" s="2" t="inlineStr">
        <is>
          <t>Dulces y Chocolates</t>
        </is>
      </c>
      <c r="F92" s="2" t="inlineStr">
        <is>
          <t>Bizcochos y Panetelas</t>
        </is>
      </c>
      <c r="G92" s="3" t="n">
        <v>1019.2</v>
      </c>
      <c r="H92" s="4" t="n">
        <v>208</v>
      </c>
      <c r="I92" s="2" t="n">
        <v>198</v>
      </c>
      <c r="J92" s="5" t="n">
        <v>46150</v>
      </c>
      <c r="K92" s="3" t="n">
        <v>4.9</v>
      </c>
      <c r="L92" s="6" t="inlineStr"/>
      <c r="M92" s="7">
        <f>IF(L92&gt;0,(K92-L92)/K92*100,"")</f>
        <v/>
      </c>
    </row>
    <row r="93">
      <c r="A93" t="n">
        <v>92</v>
      </c>
      <c r="B93" t="inlineStr">
        <is>
          <t>AR07001072</t>
        </is>
      </c>
      <c r="C93" t="inlineStr">
        <is>
          <t>PLUMON ARTESCO SMART JUMBO 47 X 6 (CAJAX72)</t>
        </is>
      </c>
      <c r="D93" t="inlineStr">
        <is>
          <t>Librería y Oficina</t>
        </is>
      </c>
      <c r="E93" t="inlineStr">
        <is>
          <t>Útiles Escolares</t>
        </is>
      </c>
      <c r="F93" t="inlineStr">
        <is>
          <t>Plumones y Marcadores</t>
        </is>
      </c>
      <c r="G93" s="8" t="n">
        <v>999.35</v>
      </c>
      <c r="H93" s="9" t="n">
        <v>164</v>
      </c>
      <c r="I93" t="n">
        <v>132</v>
      </c>
      <c r="J93" s="10" t="n">
        <v>46112</v>
      </c>
      <c r="K93" s="8" t="n">
        <v>6.15</v>
      </c>
      <c r="L93" s="6" t="inlineStr"/>
      <c r="M93" s="7">
        <f>IF(L93&gt;0,(K93-L93)/K93*100,"")</f>
        <v/>
      </c>
    </row>
    <row r="94">
      <c r="A94" s="2" t="n">
        <v>93</v>
      </c>
      <c r="B94" s="2" t="inlineStr">
        <is>
          <t>16316000</t>
        </is>
      </c>
      <c r="C94" s="2" t="inlineStr">
        <is>
          <t>PLASTILINA ARTESCO KIDS JUMBO X 12 (CAJONX96)</t>
        </is>
      </c>
      <c r="D94" s="2" t="inlineStr">
        <is>
          <t>Librería y Oficina</t>
        </is>
      </c>
      <c r="E94" s="2" t="inlineStr">
        <is>
          <t>Útiles Escolares</t>
        </is>
      </c>
      <c r="F94" s="2" t="inlineStr">
        <is>
          <t>Plastilinas y Masas</t>
        </is>
      </c>
      <c r="G94" s="3" t="n">
        <v>994.73</v>
      </c>
      <c r="H94" s="4" t="n">
        <v>223</v>
      </c>
      <c r="I94" s="2" t="n">
        <v>162</v>
      </c>
      <c r="J94" s="5" t="n">
        <v>46111</v>
      </c>
      <c r="K94" s="3" t="n">
        <v>4.48</v>
      </c>
      <c r="L94" s="6" t="inlineStr"/>
      <c r="M94" s="7">
        <f>IF(L94&gt;0,(K94-L94)/K94*100,"")</f>
        <v/>
      </c>
    </row>
    <row r="95">
      <c r="A95" t="n">
        <v>94</v>
      </c>
      <c r="B95" t="inlineStr">
        <is>
          <t>MEKA-08</t>
        </is>
      </c>
      <c r="C95" t="inlineStr">
        <is>
          <t>SET PLUMON PIZARRA EN CAJA X12</t>
        </is>
      </c>
      <c r="D95" t="inlineStr">
        <is>
          <t>Librería y Oficina</t>
        </is>
      </c>
      <c r="E95" t="inlineStr">
        <is>
          <t>Útiles Escolares</t>
        </is>
      </c>
      <c r="F95" t="inlineStr">
        <is>
          <t>Plumones y Marcadores</t>
        </is>
      </c>
      <c r="G95" s="8" t="n">
        <v>988.9299999999999</v>
      </c>
      <c r="H95" s="9" t="n">
        <v>117</v>
      </c>
      <c r="I95" t="n">
        <v>92</v>
      </c>
      <c r="J95" s="10" t="n">
        <v>46107</v>
      </c>
      <c r="K95" s="8" t="n">
        <v>8.51</v>
      </c>
      <c r="L95" s="6" t="inlineStr"/>
      <c r="M95" s="7">
        <f>IF(L95&gt;0,(K95-L95)/K95*100,"")</f>
        <v/>
      </c>
    </row>
    <row r="96">
      <c r="A96" s="2" t="n">
        <v>95</v>
      </c>
      <c r="B96" s="2" t="inlineStr">
        <is>
          <t>MER-479</t>
        </is>
      </c>
      <c r="C96" s="2" t="inlineStr">
        <is>
          <t>SET PLUMON PIZARRA X3 + MOTA</t>
        </is>
      </c>
      <c r="D96" s="2" t="inlineStr">
        <is>
          <t>Librería y Oficina</t>
        </is>
      </c>
      <c r="E96" s="2" t="inlineStr">
        <is>
          <t>Útiles Escolares</t>
        </is>
      </c>
      <c r="F96" s="2" t="inlineStr">
        <is>
          <t>Plumones y Marcadores</t>
        </is>
      </c>
      <c r="G96" s="3" t="n">
        <v>986.47</v>
      </c>
      <c r="H96" s="4" t="n">
        <v>203</v>
      </c>
      <c r="I96" s="2" t="n">
        <v>179</v>
      </c>
      <c r="J96" s="5" t="n">
        <v>46102</v>
      </c>
      <c r="K96" s="3" t="n">
        <v>4.88</v>
      </c>
      <c r="L96" s="6" t="inlineStr"/>
      <c r="M96" s="7">
        <f>IF(L96&gt;0,(K96-L96)/K96*100,"")</f>
        <v/>
      </c>
    </row>
    <row r="97">
      <c r="A97" t="n">
        <v>96</v>
      </c>
      <c r="B97" t="inlineStr">
        <is>
          <t>ROMA-07CM</t>
        </is>
      </c>
      <c r="C97" t="inlineStr">
        <is>
          <t>Jabon Rosas y Limon Rosas del Campo</t>
        </is>
      </c>
      <c r="D97" t="inlineStr">
        <is>
          <t>Cuidado Personal y Salud</t>
        </is>
      </c>
      <c r="E97" t="inlineStr">
        <is>
          <t>Higiene Personal</t>
        </is>
      </c>
      <c r="F97" t="inlineStr">
        <is>
          <t>Jabones Corporales</t>
        </is>
      </c>
      <c r="G97" s="8" t="n">
        <v>976.5</v>
      </c>
      <c r="H97" s="9" t="n">
        <v>279</v>
      </c>
      <c r="I97" t="n">
        <v>256</v>
      </c>
      <c r="J97" s="10" t="n">
        <v>46178</v>
      </c>
      <c r="K97" s="8" t="n">
        <v>3.5</v>
      </c>
      <c r="L97" s="6" t="inlineStr"/>
      <c r="M97" s="7">
        <f>IF(L97&gt;0,(K97-L97)/K97*100,"")</f>
        <v/>
      </c>
    </row>
    <row r="98">
      <c r="A98" s="2" t="n">
        <v>97</v>
      </c>
      <c r="B98" s="2" t="inlineStr">
        <is>
          <t>444313</t>
        </is>
      </c>
      <c r="C98" s="2" t="inlineStr">
        <is>
          <t>PRESTIGE ZAFRA EDP REGULAR 100ML</t>
        </is>
      </c>
      <c r="D98" s="2" t="inlineStr">
        <is>
          <t>Belleza</t>
        </is>
      </c>
      <c r="E98" s="2" t="inlineStr">
        <is>
          <t>Perfumes y Fragancias</t>
        </is>
      </c>
      <c r="F98" s="2" t="inlineStr">
        <is>
          <t>Perfumes para Mujer</t>
        </is>
      </c>
      <c r="G98" s="3" t="n">
        <v>973.5</v>
      </c>
      <c r="H98" s="4" t="n">
        <v>33</v>
      </c>
      <c r="I98" s="2" t="n">
        <v>33</v>
      </c>
      <c r="J98" s="5" t="n">
        <v>46178</v>
      </c>
      <c r="K98" s="3" t="n">
        <v>29.5</v>
      </c>
      <c r="L98" s="6" t="inlineStr"/>
      <c r="M98" s="7">
        <f>IF(L98&gt;0,(K98-L98)/K98*100,"")</f>
        <v/>
      </c>
    </row>
    <row r="99">
      <c r="A99" t="n">
        <v>98</v>
      </c>
      <c r="B99" t="inlineStr">
        <is>
          <t>FB-A4</t>
        </is>
      </c>
      <c r="C99" t="inlineStr">
        <is>
          <t>Fotográfico Brillo A4 x20hojas</t>
        </is>
      </c>
      <c r="D99" t="inlineStr">
        <is>
          <t>Librería y Oficina</t>
        </is>
      </c>
      <c r="E99" t="inlineStr">
        <is>
          <t>Útiles Escolares</t>
        </is>
      </c>
      <c r="F99" t="inlineStr">
        <is>
          <t>Colores, Forros y Papelería Escolar</t>
        </is>
      </c>
      <c r="G99" s="8" t="n">
        <v>968.85</v>
      </c>
      <c r="H99" s="9" t="n">
        <v>189</v>
      </c>
      <c r="I99" t="n">
        <v>155</v>
      </c>
      <c r="J99" s="10" t="n">
        <v>46147</v>
      </c>
      <c r="K99" s="8" t="n">
        <v>5.14</v>
      </c>
      <c r="L99" s="6" t="inlineStr"/>
      <c r="M99" s="7">
        <f>IF(L99&gt;0,(K99-L99)/K99*100,"")</f>
        <v/>
      </c>
    </row>
    <row r="100">
      <c r="A100" s="2" t="n">
        <v>99</v>
      </c>
      <c r="B100" s="2" t="inlineStr">
        <is>
          <t>ZB2016T</t>
        </is>
      </c>
      <c r="C100" s="2" t="inlineStr">
        <is>
          <t>TAZA VIDRIO C/ PLATO C/ FRASE DORADA</t>
        </is>
      </c>
      <c r="D100" s="2" t="inlineStr">
        <is>
          <t>Temporada y Celebraciones</t>
        </is>
      </c>
      <c r="E100" s="2" t="inlineStr">
        <is>
          <t>Regalos y Novedades</t>
        </is>
      </c>
      <c r="F100" s="2" t="inlineStr">
        <is>
          <t>Taza dia madre</t>
        </is>
      </c>
      <c r="G100" s="3" t="n">
        <v>947.38</v>
      </c>
      <c r="H100" s="4" t="n">
        <v>72</v>
      </c>
      <c r="I100" s="2" t="n">
        <v>25</v>
      </c>
      <c r="J100" s="5" t="n">
        <v>46152</v>
      </c>
      <c r="K100" s="3" t="n">
        <v>13.37</v>
      </c>
      <c r="L100" s="6" t="inlineStr"/>
      <c r="M100" s="7">
        <f>IF(L100&gt;0,(K100-L100)/K100*100,"")</f>
        <v/>
      </c>
    </row>
    <row r="101">
      <c r="A101" t="n">
        <v>100</v>
      </c>
      <c r="B101" t="inlineStr">
        <is>
          <t>841926</t>
        </is>
      </c>
      <c r="C101" t="inlineStr">
        <is>
          <t>COLOR X 24L TRIANG YIMI</t>
        </is>
      </c>
      <c r="D101" t="inlineStr">
        <is>
          <t>Librería y Oficina</t>
        </is>
      </c>
      <c r="E101" t="inlineStr">
        <is>
          <t>Útiles Escolares</t>
        </is>
      </c>
      <c r="F101" t="inlineStr">
        <is>
          <t>Colores y Crayolas</t>
        </is>
      </c>
      <c r="G101" s="8" t="n">
        <v>942.6799999999999</v>
      </c>
      <c r="H101" s="9" t="n">
        <v>120</v>
      </c>
      <c r="I101" t="n">
        <v>88</v>
      </c>
      <c r="J101" s="10" t="n">
        <v>46112</v>
      </c>
      <c r="K101" s="8" t="n">
        <v>7.93</v>
      </c>
      <c r="L101" s="6" t="inlineStr"/>
      <c r="M101" s="7">
        <f>IF(L101&gt;0,(K101-L101)/K101*100,"")</f>
        <v/>
      </c>
    </row>
    <row r="102">
      <c r="A102" s="2" t="n">
        <v>101</v>
      </c>
      <c r="B102" s="2" t="inlineStr">
        <is>
          <t>75961067288035</t>
        </is>
      </c>
      <c r="C102" s="2" t="inlineStr">
        <is>
          <t>Chocolate Costa Vizzio Gragea Almendra 63Gr</t>
        </is>
      </c>
      <c r="D102" s="2" t="inlineStr">
        <is>
          <t>Abarrotes</t>
        </is>
      </c>
      <c r="E102" s="2" t="inlineStr">
        <is>
          <t>Dulces y Chocolates</t>
        </is>
      </c>
      <c r="F102" s="2" t="inlineStr">
        <is>
          <t>Chocolates</t>
        </is>
      </c>
      <c r="G102" s="3" t="n">
        <v>936</v>
      </c>
      <c r="H102" s="4" t="n">
        <v>180</v>
      </c>
      <c r="I102" s="2" t="n">
        <v>127</v>
      </c>
      <c r="J102" s="5" t="n">
        <v>46156</v>
      </c>
      <c r="K102" s="3" t="n">
        <v>5.2</v>
      </c>
      <c r="L102" s="6" t="inlineStr"/>
      <c r="M102" s="7">
        <f>IF(L102&gt;0,(K102-L102)/K102*100,"")</f>
        <v/>
      </c>
    </row>
    <row r="103">
      <c r="A103" t="n">
        <v>102</v>
      </c>
      <c r="B103" t="inlineStr">
        <is>
          <t>ESC-01</t>
        </is>
      </c>
      <c r="C103" t="inlineStr">
        <is>
          <t>SET BORRADOR X6</t>
        </is>
      </c>
      <c r="D103" t="inlineStr">
        <is>
          <t>Librería y Oficina</t>
        </is>
      </c>
      <c r="E103" t="inlineStr">
        <is>
          <t>Útiles Escolares</t>
        </is>
      </c>
      <c r="F103" t="inlineStr">
        <is>
          <t>Borradores y Tajadores</t>
        </is>
      </c>
      <c r="G103" s="8" t="n">
        <v>927.48</v>
      </c>
      <c r="H103" s="9" t="n">
        <v>262</v>
      </c>
      <c r="I103" t="n">
        <v>212</v>
      </c>
      <c r="J103" s="10" t="n">
        <v>46175</v>
      </c>
      <c r="K103" s="8" t="n">
        <v>3.5</v>
      </c>
      <c r="L103" s="6" t="inlineStr"/>
      <c r="M103" s="7">
        <f>IF(L103&gt;0,(K103-L103)/K103*100,"")</f>
        <v/>
      </c>
    </row>
    <row r="104">
      <c r="A104" s="2" t="n">
        <v>103</v>
      </c>
      <c r="B104" s="2" t="inlineStr">
        <is>
          <t>AR07001073</t>
        </is>
      </c>
      <c r="C104" s="2" t="inlineStr">
        <is>
          <t>PLUMON ARTESCO SMART JUMBO 47 X 12 (CAJAX48)</t>
        </is>
      </c>
      <c r="D104" s="2" t="inlineStr">
        <is>
          <t>Librería y Oficina</t>
        </is>
      </c>
      <c r="E104" s="2" t="inlineStr">
        <is>
          <t>Útiles Escolares</t>
        </is>
      </c>
      <c r="F104" s="2" t="inlineStr">
        <is>
          <t>Plumones y Marcadores</t>
        </is>
      </c>
      <c r="G104" s="3" t="n">
        <v>924.3</v>
      </c>
      <c r="H104" s="4" t="n">
        <v>72</v>
      </c>
      <c r="I104" s="2" t="n">
        <v>65</v>
      </c>
      <c r="J104" s="5" t="n">
        <v>46118</v>
      </c>
      <c r="K104" s="3" t="n">
        <v>12.83</v>
      </c>
      <c r="L104" s="6" t="inlineStr"/>
      <c r="M104" s="7">
        <f>IF(L104&gt;0,(K104-L104)/K104*100,"")</f>
        <v/>
      </c>
    </row>
    <row r="105">
      <c r="A105" t="n">
        <v>104</v>
      </c>
      <c r="B105" t="inlineStr">
        <is>
          <t>75875160897172</t>
        </is>
      </c>
      <c r="C105" t="inlineStr">
        <is>
          <t>Insecticida Bay-Cin Spray Multi Insectos 400 ml</t>
        </is>
      </c>
      <c r="D105" t="inlineStr">
        <is>
          <t>Limpieza</t>
        </is>
      </c>
      <c r="E105" t="inlineStr">
        <is>
          <t>Limpiadores Específicos</t>
        </is>
      </c>
      <c r="F105" t="inlineStr">
        <is>
          <t>Insecticidas</t>
        </is>
      </c>
      <c r="G105" s="8" t="n">
        <v>924</v>
      </c>
      <c r="H105" s="9" t="n">
        <v>109</v>
      </c>
      <c r="I105" t="n">
        <v>101</v>
      </c>
      <c r="J105" s="10" t="n">
        <v>46177</v>
      </c>
      <c r="K105" s="8" t="n">
        <v>8.5</v>
      </c>
      <c r="L105" s="6" t="inlineStr"/>
      <c r="M105" s="7">
        <f>IF(L105&gt;0,(K105-L105)/K105*100,"")</f>
        <v/>
      </c>
    </row>
    <row r="106">
      <c r="A106" s="2" t="n">
        <v>105</v>
      </c>
      <c r="B106" s="2" t="inlineStr">
        <is>
          <t>75875160710840</t>
        </is>
      </c>
      <c r="C106" s="2" t="inlineStr">
        <is>
          <t>SH Nutribela Biokeratina 400ml SHAMPOO</t>
        </is>
      </c>
      <c r="D106" s="2" t="inlineStr">
        <is>
          <t>Cuidado Personal y Salud</t>
        </is>
      </c>
      <c r="E106" s="2" t="inlineStr">
        <is>
          <t>Cuidado del Cabello</t>
        </is>
      </c>
      <c r="F106" s="2" t="inlineStr">
        <is>
          <t>Shampoo</t>
        </is>
      </c>
      <c r="G106" s="3" t="n">
        <v>922.3099999999999</v>
      </c>
      <c r="H106" s="4" t="n">
        <v>62</v>
      </c>
      <c r="I106" s="2" t="n">
        <v>61</v>
      </c>
      <c r="J106" s="5" t="n">
        <v>46178</v>
      </c>
      <c r="K106" s="3" t="n">
        <v>14.88</v>
      </c>
      <c r="L106" s="6" t="inlineStr"/>
      <c r="M106" s="7">
        <f>IF(L106&gt;0,(K106-L106)/K106*100,"")</f>
        <v/>
      </c>
    </row>
    <row r="107">
      <c r="A107" t="n">
        <v>106</v>
      </c>
      <c r="B107" t="inlineStr">
        <is>
          <t>CH-A4</t>
        </is>
      </c>
      <c r="C107" t="inlineStr">
        <is>
          <t>Cartulina Hilo A4 x100hojas</t>
        </is>
      </c>
      <c r="D107" t="inlineStr">
        <is>
          <t>Librería y Oficina</t>
        </is>
      </c>
      <c r="E107" t="inlineStr">
        <is>
          <t>Útiles Escolares</t>
        </is>
      </c>
      <c r="F107" t="inlineStr">
        <is>
          <t>Papeles y Cartulinas</t>
        </is>
      </c>
      <c r="G107" s="8" t="n">
        <v>917.14</v>
      </c>
      <c r="H107" s="9" t="n">
        <v>112</v>
      </c>
      <c r="I107" t="n">
        <v>95</v>
      </c>
      <c r="J107" s="10" t="n">
        <v>46127</v>
      </c>
      <c r="K107" s="8" t="n">
        <v>8.220000000000001</v>
      </c>
      <c r="L107" s="6" t="inlineStr"/>
      <c r="M107" s="7">
        <f>IF(L107&gt;0,(K107-L107)/K107*100,"")</f>
        <v/>
      </c>
    </row>
    <row r="108">
      <c r="A108" s="2" t="n">
        <v>107</v>
      </c>
      <c r="B108" s="2" t="inlineStr">
        <is>
          <t>75891958900364</t>
        </is>
      </c>
      <c r="C108" s="2" t="inlineStr">
        <is>
          <t>Lava Vajilla en Pasta Sapolio Limón 800GR (PQTX6)</t>
        </is>
      </c>
      <c r="D108" s="2" t="inlineStr">
        <is>
          <t>Limpieza</t>
        </is>
      </c>
      <c r="E108" s="2" t="inlineStr">
        <is>
          <t>Lavavajillas</t>
        </is>
      </c>
      <c r="F108" s="2" t="inlineStr">
        <is>
          <t>Lavavajillas en Pasta</t>
        </is>
      </c>
      <c r="G108" s="3" t="n">
        <v>910</v>
      </c>
      <c r="H108" s="4" t="n">
        <v>140</v>
      </c>
      <c r="I108" s="2" t="n">
        <v>137</v>
      </c>
      <c r="J108" s="5" t="n">
        <v>46178</v>
      </c>
      <c r="K108" s="3" t="n">
        <v>6.5</v>
      </c>
      <c r="L108" s="6" t="inlineStr"/>
      <c r="M108" s="7">
        <f>IF(L108&gt;0,(K108-L108)/K108*100,"")</f>
        <v/>
      </c>
    </row>
    <row r="109">
      <c r="A109" t="n">
        <v>108</v>
      </c>
      <c r="B109" t="inlineStr">
        <is>
          <t>220198</t>
        </is>
      </c>
      <c r="C109" t="inlineStr">
        <is>
          <t>SET MANICURE X 120 PZS</t>
        </is>
      </c>
      <c r="D109" t="inlineStr">
        <is>
          <t>Belleza</t>
        </is>
      </c>
      <c r="E109" t="inlineStr">
        <is>
          <t>Maquillaje y Cosméticos</t>
        </is>
      </c>
      <c r="F109" t="inlineStr">
        <is>
          <t>Uñas y Esmaltes</t>
        </is>
      </c>
      <c r="G109" s="8" t="n">
        <v>906.5</v>
      </c>
      <c r="H109" s="9" t="n">
        <v>101</v>
      </c>
      <c r="I109" t="n">
        <v>46</v>
      </c>
      <c r="J109" s="10" t="n">
        <v>46165</v>
      </c>
      <c r="K109" s="8" t="n">
        <v>9.48</v>
      </c>
      <c r="L109" s="6" t="inlineStr"/>
      <c r="M109" s="7">
        <f>IF(L109&gt;0,(K109-L109)/K109*100,"")</f>
        <v/>
      </c>
    </row>
    <row r="110">
      <c r="A110" s="2" t="n">
        <v>109</v>
      </c>
      <c r="B110" s="2" t="inlineStr">
        <is>
          <t>13093000</t>
        </is>
      </c>
      <c r="C110" s="2" t="inlineStr">
        <is>
          <t>COLA SINTETICA ARTESCO 250 GR (8.8 ONZ) C/DISOENSADOR REDONDO (CAJONX72)</t>
        </is>
      </c>
      <c r="D110" s="2" t="inlineStr">
        <is>
          <t>Librería y Oficina</t>
        </is>
      </c>
      <c r="E110" s="2" t="inlineStr">
        <is>
          <t>Útiles Escolares</t>
        </is>
      </c>
      <c r="F110" s="2" t="inlineStr">
        <is>
          <t>Pegamentos y Silicona</t>
        </is>
      </c>
      <c r="G110" s="3" t="n">
        <v>904.0599999999999</v>
      </c>
      <c r="H110" s="4" t="n">
        <v>263</v>
      </c>
      <c r="I110" s="2" t="n">
        <v>188</v>
      </c>
      <c r="J110" s="5" t="n">
        <v>46131</v>
      </c>
      <c r="K110" s="3" t="n">
        <v>3.48</v>
      </c>
      <c r="L110" s="6" t="inlineStr"/>
      <c r="M110" s="7">
        <f>IF(L110&gt;0,(K110-L110)/K110*100,"")</f>
        <v/>
      </c>
    </row>
    <row r="111">
      <c r="A111" t="n">
        <v>110</v>
      </c>
      <c r="B111" t="inlineStr">
        <is>
          <t>MER-80</t>
        </is>
      </c>
      <c r="C111" t="inlineStr">
        <is>
          <t>SET PINCEL ROJO X12 MERCY</t>
        </is>
      </c>
      <c r="D111" t="inlineStr">
        <is>
          <t>Librería y Oficina</t>
        </is>
      </c>
      <c r="E111" t="inlineStr">
        <is>
          <t>Útiles Escolares</t>
        </is>
      </c>
      <c r="F111" t="inlineStr">
        <is>
          <t>Pinceles y Brochas Escolares</t>
        </is>
      </c>
      <c r="G111" s="8" t="n">
        <v>899.11</v>
      </c>
      <c r="H111" s="9" t="n">
        <v>203</v>
      </c>
      <c r="I111" t="n">
        <v>171</v>
      </c>
      <c r="J111" s="10" t="n">
        <v>46108</v>
      </c>
      <c r="K111" s="8" t="n">
        <v>4.48</v>
      </c>
      <c r="L111" s="6" t="inlineStr"/>
      <c r="M111" s="7">
        <f>IF(L111&gt;0,(K111-L111)/K111*100,"")</f>
        <v/>
      </c>
    </row>
    <row r="112">
      <c r="A112" s="2" t="n">
        <v>111</v>
      </c>
      <c r="B112" s="2" t="inlineStr">
        <is>
          <t>CJS219</t>
        </is>
      </c>
      <c r="C112" s="2" t="inlineStr">
        <is>
          <t>Pelcuche Pingüino I love</t>
        </is>
      </c>
      <c r="D112" s="2" t="inlineStr">
        <is>
          <t>Tendencias Kawaii</t>
        </is>
      </c>
      <c r="E112" s="2" t="inlineStr">
        <is>
          <t>Peluches</t>
        </is>
      </c>
      <c r="F112" s="2" t="inlineStr">
        <is>
          <t>Peluches Kawaii</t>
        </is>
      </c>
      <c r="G112" s="3" t="n">
        <v>894</v>
      </c>
      <c r="H112" s="4" t="n">
        <v>60</v>
      </c>
      <c r="I112" s="2" t="n">
        <v>54</v>
      </c>
      <c r="J112" s="5" t="n">
        <v>46151</v>
      </c>
      <c r="K112" s="3" t="n">
        <v>14.9</v>
      </c>
      <c r="L112" s="6" t="inlineStr"/>
      <c r="M112" s="7">
        <f>IF(L112&gt;0,(K112-L112)/K112*100,"")</f>
        <v/>
      </c>
    </row>
    <row r="113">
      <c r="A113" t="n">
        <v>112</v>
      </c>
      <c r="B113" t="inlineStr">
        <is>
          <t>PNT-AP</t>
        </is>
      </c>
      <c r="C113" t="inlineStr">
        <is>
          <t>PINTURA APU BRILLO 30ML COLORES SURTIDOS</t>
        </is>
      </c>
      <c r="D113" t="inlineStr">
        <is>
          <t>Librería y Oficina</t>
        </is>
      </c>
      <c r="E113" t="inlineStr">
        <is>
          <t>Útiles Escolares</t>
        </is>
      </c>
      <c r="F113" t="inlineStr">
        <is>
          <t>Témperas y Pinturas</t>
        </is>
      </c>
      <c r="G113" s="8" t="n">
        <v>881.77</v>
      </c>
      <c r="H113" s="9" t="n">
        <v>429</v>
      </c>
      <c r="I113" t="n">
        <v>177</v>
      </c>
      <c r="J113" s="10" t="n">
        <v>46138</v>
      </c>
      <c r="K113" s="8" t="n">
        <v>2.08</v>
      </c>
      <c r="L113" s="6" t="inlineStr"/>
      <c r="M113" s="7">
        <f>IF(L113&gt;0,(K113-L113)/K113*100,"")</f>
        <v/>
      </c>
    </row>
    <row r="114">
      <c r="A114" s="2" t="n">
        <v>113</v>
      </c>
      <c r="B114" s="2" t="inlineStr">
        <is>
          <t>140545</t>
        </is>
      </c>
      <c r="C114" s="2" t="inlineStr">
        <is>
          <t>CARTERA PATRON ROMBOS/ BROCHE MARIPOSA</t>
        </is>
      </c>
      <c r="D114" s="2" t="inlineStr">
        <is>
          <t>Accesorios</t>
        </is>
      </c>
      <c r="E114" s="2" t="inlineStr">
        <is>
          <t>Accesorios Mujer</t>
        </is>
      </c>
      <c r="F114" s="2" t="inlineStr">
        <is>
          <t>Carteras</t>
        </is>
      </c>
      <c r="G114" s="3" t="n">
        <v>879.1</v>
      </c>
      <c r="H114" s="4" t="n">
        <v>59</v>
      </c>
      <c r="I114" s="2" t="n">
        <v>54</v>
      </c>
      <c r="J114" s="5" t="n">
        <v>46150</v>
      </c>
      <c r="K114" s="3" t="n">
        <v>14.9</v>
      </c>
      <c r="L114" s="6" t="inlineStr"/>
      <c r="M114" s="7">
        <f>IF(L114&gt;0,(K114-L114)/K114*100,"")</f>
        <v/>
      </c>
    </row>
    <row r="115">
      <c r="A115" t="n">
        <v>114</v>
      </c>
      <c r="B115" t="inlineStr">
        <is>
          <t>ESC-18</t>
        </is>
      </c>
      <c r="C115" t="inlineStr">
        <is>
          <t>FORRO VINFAN T/OFICIO X 5 mts</t>
        </is>
      </c>
      <c r="D115" t="inlineStr">
        <is>
          <t>Librería y Oficina</t>
        </is>
      </c>
      <c r="E115" t="inlineStr">
        <is>
          <t>Útiles Escolares</t>
        </is>
      </c>
      <c r="F115" t="inlineStr">
        <is>
          <t>Forros para Cuadernos</t>
        </is>
      </c>
      <c r="G115" s="8" t="n">
        <v>877.91</v>
      </c>
      <c r="H115" s="9" t="n">
        <v>82</v>
      </c>
      <c r="I115" t="n">
        <v>64</v>
      </c>
      <c r="J115" s="10" t="n">
        <v>46124</v>
      </c>
      <c r="K115" s="8" t="n">
        <v>10.61</v>
      </c>
      <c r="L115" s="6" t="inlineStr"/>
      <c r="M115" s="7">
        <f>IF(L115&gt;0,(K115-L115)/K115*100,"")</f>
        <v/>
      </c>
    </row>
    <row r="116">
      <c r="A116" s="2" t="n">
        <v>115</v>
      </c>
      <c r="B116" s="2" t="inlineStr">
        <is>
          <t>LA-100830</t>
        </is>
      </c>
      <c r="C116" s="2" t="inlineStr">
        <is>
          <t>FUENTE RECTANGULAR</t>
        </is>
      </c>
      <c r="D116" s="2" t="inlineStr">
        <is>
          <t>Hogar y Decoración</t>
        </is>
      </c>
      <c r="E116" s="2" t="inlineStr">
        <is>
          <t>Menaje de Comedor</t>
        </is>
      </c>
      <c r="F116" s="2" t="inlineStr">
        <is>
          <t>Platos y Fuentes</t>
        </is>
      </c>
      <c r="G116" s="3" t="n">
        <v>872.9</v>
      </c>
      <c r="H116" s="4" t="n">
        <v>117</v>
      </c>
      <c r="I116" s="2" t="n">
        <v>34</v>
      </c>
      <c r="J116" s="5" t="n">
        <v>46178</v>
      </c>
      <c r="K116" s="3" t="n">
        <v>7.47</v>
      </c>
      <c r="L116" s="6" t="inlineStr"/>
      <c r="M116" s="7">
        <f>IF(L116&gt;0,(K116-L116)/K116*100,"")</f>
        <v/>
      </c>
    </row>
    <row r="117">
      <c r="A117" t="n">
        <v>116</v>
      </c>
      <c r="B117" t="inlineStr">
        <is>
          <t>R4-003</t>
        </is>
      </c>
      <c r="C117" t="inlineStr">
        <is>
          <t>SILICONA 250ML NAYRA</t>
        </is>
      </c>
      <c r="D117" t="inlineStr">
        <is>
          <t>Librería y Oficina</t>
        </is>
      </c>
      <c r="E117" t="inlineStr">
        <is>
          <t>Útiles Escolares</t>
        </is>
      </c>
      <c r="F117" t="inlineStr">
        <is>
          <t>Pegamentos y Silicona</t>
        </is>
      </c>
      <c r="G117" s="8" t="n">
        <v>872.75</v>
      </c>
      <c r="H117" s="9" t="n">
        <v>166</v>
      </c>
      <c r="I117" t="n">
        <v>114</v>
      </c>
      <c r="J117" s="10" t="n">
        <v>46110</v>
      </c>
      <c r="K117" s="8" t="n">
        <v>5.29</v>
      </c>
      <c r="L117" s="6" t="inlineStr"/>
      <c r="M117" s="7">
        <f>IF(L117&gt;0,(K117-L117)/K117*100,"")</f>
        <v/>
      </c>
    </row>
    <row r="118">
      <c r="A118" s="2" t="n">
        <v>117</v>
      </c>
      <c r="B118" s="2" t="inlineStr">
        <is>
          <t>136331</t>
        </is>
      </c>
      <c r="C118" s="2" t="inlineStr">
        <is>
          <t>PAPEL TOALLA D/H 19M PQTX1 SUPER</t>
        </is>
      </c>
      <c r="D118" s="2" t="inlineStr">
        <is>
          <t>Cuidado Personal y Salud</t>
        </is>
      </c>
      <c r="E118" s="2" t="inlineStr">
        <is>
          <t>Papel Higiénico y Servilletas</t>
        </is>
      </c>
      <c r="F118" s="2" t="inlineStr">
        <is>
          <t>Papel Toalla</t>
        </is>
      </c>
      <c r="G118" s="3" t="n">
        <v>870</v>
      </c>
      <c r="H118" s="4" t="n">
        <v>348</v>
      </c>
      <c r="I118" s="2" t="n">
        <v>208</v>
      </c>
      <c r="J118" s="5" t="n">
        <v>46106</v>
      </c>
      <c r="K118" s="3" t="n">
        <v>2.5</v>
      </c>
      <c r="L118" s="6" t="inlineStr"/>
      <c r="M118" s="7">
        <f>IF(L118&gt;0,(K118-L118)/K118*100,"")</f>
        <v/>
      </c>
    </row>
    <row r="119">
      <c r="A119" t="n">
        <v>118</v>
      </c>
      <c r="B119" t="inlineStr">
        <is>
          <t>GF-2706</t>
        </is>
      </c>
      <c r="C119" t="inlineStr">
        <is>
          <t>SET GANCHO PARED X4</t>
        </is>
      </c>
      <c r="D119" t="inlineStr">
        <is>
          <t>Hogar y Decoración</t>
        </is>
      </c>
      <c r="E119" t="inlineStr">
        <is>
          <t>Organización del Hogar</t>
        </is>
      </c>
      <c r="F119" t="inlineStr">
        <is>
          <t>Percheros y Colgadores</t>
        </is>
      </c>
      <c r="G119" s="8" t="n">
        <v>864.6</v>
      </c>
      <c r="H119" s="9" t="n">
        <v>456</v>
      </c>
      <c r="I119" t="n">
        <v>367</v>
      </c>
      <c r="J119" s="10" t="n">
        <v>46153</v>
      </c>
      <c r="K119" s="8" t="n">
        <v>1.9</v>
      </c>
      <c r="L119" s="6" t="inlineStr"/>
      <c r="M119" s="7">
        <f>IF(L119&gt;0,(K119-L119)/K119*100,"")</f>
        <v/>
      </c>
    </row>
    <row r="120">
      <c r="A120" s="2" t="n">
        <v>119</v>
      </c>
      <c r="B120" s="2" t="inlineStr">
        <is>
          <t>74931687381191</t>
        </is>
      </c>
      <c r="C120" s="2" t="inlineStr">
        <is>
          <t>JABÓN ACLARAR AVENA LA COOPER</t>
        </is>
      </c>
      <c r="D120" s="2" t="inlineStr">
        <is>
          <t>Belleza</t>
        </is>
      </c>
      <c r="E120" s="2" t="inlineStr">
        <is>
          <t>Cuidado de la Piel Corporal</t>
        </is>
      </c>
      <c r="F120" s="2" t="inlineStr">
        <is>
          <t>Jabones Faciales</t>
        </is>
      </c>
      <c r="G120" s="3" t="n">
        <v>864.5</v>
      </c>
      <c r="H120" s="4" t="n">
        <v>133</v>
      </c>
      <c r="I120" s="2" t="n">
        <v>127</v>
      </c>
      <c r="J120" s="5" t="n">
        <v>46149</v>
      </c>
      <c r="K120" s="3" t="n">
        <v>6.5</v>
      </c>
      <c r="L120" s="6" t="inlineStr"/>
      <c r="M120" s="7">
        <f>IF(L120&gt;0,(K120-L120)/K120*100,"")</f>
        <v/>
      </c>
    </row>
    <row r="121">
      <c r="A121" t="n">
        <v>120</v>
      </c>
      <c r="B121" t="inlineStr">
        <is>
          <t>390020</t>
        </is>
      </c>
      <c r="C121" t="inlineStr">
        <is>
          <t>POSIT</t>
        </is>
      </c>
      <c r="D121" t="inlineStr">
        <is>
          <t>Librería y Oficina</t>
        </is>
      </c>
      <c r="E121" t="inlineStr">
        <is>
          <t>Útiles Escolares</t>
        </is>
      </c>
      <c r="F121" t="inlineStr">
        <is>
          <t>Notas Adhesivas</t>
        </is>
      </c>
      <c r="G121" s="8" t="n">
        <v>863.4</v>
      </c>
      <c r="H121" s="9" t="n">
        <v>890</v>
      </c>
      <c r="I121" t="n">
        <v>490</v>
      </c>
      <c r="J121" s="10" t="n">
        <v>46105</v>
      </c>
      <c r="K121" s="8" t="n">
        <v>0.99</v>
      </c>
      <c r="L121" s="6" t="inlineStr"/>
      <c r="M121" s="7">
        <f>IF(L121&gt;0,(K121-L121)/K121*100,"")</f>
        <v/>
      </c>
    </row>
    <row r="122">
      <c r="A122" s="2" t="n">
        <v>121</v>
      </c>
      <c r="B122" s="2" t="inlineStr">
        <is>
          <t>140460</t>
        </is>
      </c>
      <c r="C122" s="2" t="inlineStr">
        <is>
          <t>BILLETERA X 120 PZS</t>
        </is>
      </c>
      <c r="D122" s="2" t="inlineStr">
        <is>
          <t>Accesorios</t>
        </is>
      </c>
      <c r="E122" s="2" t="inlineStr">
        <is>
          <t>Accesorios Mujer</t>
        </is>
      </c>
      <c r="F122" s="2" t="inlineStr">
        <is>
          <t>Billetera</t>
        </is>
      </c>
      <c r="G122" s="3" t="n">
        <v>861.26</v>
      </c>
      <c r="H122" s="4" t="n">
        <v>89</v>
      </c>
      <c r="I122" s="2" t="n">
        <v>53</v>
      </c>
      <c r="J122" s="5" t="n">
        <v>46147</v>
      </c>
      <c r="K122" s="3" t="n">
        <v>9.869999999999999</v>
      </c>
      <c r="L122" s="6" t="inlineStr"/>
      <c r="M122" s="7">
        <f>IF(L122&gt;0,(K122-L122)/K122*100,"")</f>
        <v/>
      </c>
    </row>
    <row r="123">
      <c r="A123" t="n">
        <v>122</v>
      </c>
      <c r="B123" t="inlineStr">
        <is>
          <t>TR-007</t>
        </is>
      </c>
      <c r="C123" t="inlineStr">
        <is>
          <t>TIJERA</t>
        </is>
      </c>
      <c r="D123" t="inlineStr">
        <is>
          <t>Librería y Oficina</t>
        </is>
      </c>
      <c r="E123" t="inlineStr">
        <is>
          <t>Útiles Escolares</t>
        </is>
      </c>
      <c r="F123" t="inlineStr">
        <is>
          <t>Tijeras y Reglas</t>
        </is>
      </c>
      <c r="G123" s="8" t="n">
        <v>859.45</v>
      </c>
      <c r="H123" s="9" t="n">
        <v>973</v>
      </c>
      <c r="I123" t="n">
        <v>691</v>
      </c>
      <c r="J123" s="10" t="n">
        <v>46174</v>
      </c>
      <c r="K123" s="8" t="n">
        <v>0.9</v>
      </c>
      <c r="L123" s="6" t="inlineStr"/>
      <c r="M123" s="7">
        <f>IF(L123&gt;0,(K123-L123)/K123*100,"")</f>
        <v/>
      </c>
    </row>
    <row r="124">
      <c r="A124" s="2" t="n">
        <v>123</v>
      </c>
      <c r="B124" s="2" t="inlineStr">
        <is>
          <t>7002050</t>
        </is>
      </c>
      <c r="C124" s="2" t="inlineStr">
        <is>
          <t>PLUMON ARTESCO AQUAMAX 47 X 6 (CAJONX96EST)</t>
        </is>
      </c>
      <c r="D124" s="2" t="inlineStr">
        <is>
          <t>Librería y Oficina</t>
        </is>
      </c>
      <c r="E124" s="2" t="inlineStr">
        <is>
          <t>Útiles Escolares</t>
        </is>
      </c>
      <c r="F124" s="2" t="inlineStr">
        <is>
          <t>Plumones y Marcadores</t>
        </is>
      </c>
      <c r="G124" s="3" t="n">
        <v>855.95</v>
      </c>
      <c r="H124" s="4" t="n">
        <v>101</v>
      </c>
      <c r="I124" s="2" t="n">
        <v>87</v>
      </c>
      <c r="J124" s="5" t="n">
        <v>46135</v>
      </c>
      <c r="K124" s="3" t="n">
        <v>8.470000000000001</v>
      </c>
      <c r="L124" s="6" t="inlineStr"/>
      <c r="M124" s="7">
        <f>IF(L124&gt;0,(K124-L124)/K124*100,"")</f>
        <v/>
      </c>
    </row>
    <row r="125">
      <c r="A125" t="n">
        <v>124</v>
      </c>
      <c r="B125" t="inlineStr">
        <is>
          <t>270204</t>
        </is>
      </c>
      <c r="C125" t="inlineStr">
        <is>
          <t>CEPILLO ALISADOR</t>
        </is>
      </c>
      <c r="D125" t="inlineStr">
        <is>
          <t>Electrohogar</t>
        </is>
      </c>
      <c r="E125" t="inlineStr">
        <is>
          <t>Cuidado Personal</t>
        </is>
      </c>
      <c r="F125" t="inlineStr">
        <is>
          <t>Planchas y Rizadoras</t>
        </is>
      </c>
      <c r="G125" s="8" t="n">
        <v>851.4</v>
      </c>
      <c r="H125" s="9" t="n">
        <v>86</v>
      </c>
      <c r="I125" t="n">
        <v>82</v>
      </c>
      <c r="J125" s="10" t="n">
        <v>46105</v>
      </c>
      <c r="K125" s="8" t="n">
        <v>9.9</v>
      </c>
      <c r="L125" s="6" t="inlineStr"/>
      <c r="M125" s="7">
        <f>IF(L125&gt;0,(K125-L125)/K125*100,"")</f>
        <v/>
      </c>
    </row>
    <row r="126">
      <c r="A126" s="2" t="n">
        <v>125</v>
      </c>
      <c r="B126" s="2" t="inlineStr">
        <is>
          <t>CH0311</t>
        </is>
      </c>
      <c r="C126" s="2" t="inlineStr">
        <is>
          <t>JABON LIQUIDO ANTIBACTERIAL PET MARCA CHEMICLIN (1L x 12UND) CJ</t>
        </is>
      </c>
      <c r="D126" s="2" t="inlineStr">
        <is>
          <t>Cuidado Personal y Salud</t>
        </is>
      </c>
      <c r="E126" s="2" t="inlineStr">
        <is>
          <t>Higiene Personal</t>
        </is>
      </c>
      <c r="F126" s="2" t="inlineStr">
        <is>
          <t>Jabones Liquido para Manos</t>
        </is>
      </c>
      <c r="G126" s="3" t="n">
        <v>847.6</v>
      </c>
      <c r="H126" s="4" t="n">
        <v>163</v>
      </c>
      <c r="I126" s="2" t="n">
        <v>142</v>
      </c>
      <c r="J126" s="5" t="n">
        <v>46107</v>
      </c>
      <c r="K126" s="3" t="n">
        <v>5.2</v>
      </c>
      <c r="L126" s="6" t="inlineStr"/>
      <c r="M126" s="7">
        <f>IF(L126&gt;0,(K126-L126)/K126*100,"")</f>
        <v/>
      </c>
    </row>
    <row r="127">
      <c r="A127" t="n">
        <v>126</v>
      </c>
      <c r="B127" t="inlineStr">
        <is>
          <t>BXW-013</t>
        </is>
      </c>
      <c r="C127" t="inlineStr">
        <is>
          <t>Taper de vidrio rectángulo pequeño</t>
        </is>
      </c>
      <c r="G127" s="8" t="n">
        <v>843.5</v>
      </c>
      <c r="H127" s="9" t="n">
        <v>145</v>
      </c>
      <c r="I127" t="n">
        <v>108</v>
      </c>
      <c r="J127" s="10" t="n">
        <v>46106</v>
      </c>
      <c r="K127" s="8" t="n">
        <v>5.88</v>
      </c>
      <c r="L127" s="6" t="inlineStr"/>
      <c r="M127" s="7">
        <f>IF(L127&gt;0,(K127-L127)/K127*100,"")</f>
        <v/>
      </c>
    </row>
    <row r="128">
      <c r="A128" s="2" t="n">
        <v>127</v>
      </c>
      <c r="B128" s="2" t="inlineStr">
        <is>
          <t>RR0445</t>
        </is>
      </c>
      <c r="C128" s="2" t="inlineStr">
        <is>
          <t>MICROPOROSO A4 X10pcs</t>
        </is>
      </c>
      <c r="D128" s="2" t="inlineStr">
        <is>
          <t>Librería y Oficina</t>
        </is>
      </c>
      <c r="E128" s="2" t="inlineStr">
        <is>
          <t>Útiles Escolares</t>
        </is>
      </c>
      <c r="F128" s="2" t="inlineStr">
        <is>
          <t>Micropororsos y Goma Eva</t>
        </is>
      </c>
      <c r="G128" s="3" t="n">
        <v>842.0700000000001</v>
      </c>
      <c r="H128" s="4" t="n">
        <v>174</v>
      </c>
      <c r="I128" s="2" t="n">
        <v>141</v>
      </c>
      <c r="J128" s="5" t="n">
        <v>46110</v>
      </c>
      <c r="K128" s="3" t="n">
        <v>4.87</v>
      </c>
      <c r="L128" s="6" t="inlineStr"/>
      <c r="M128" s="7">
        <f>IF(L128&gt;0,(K128-L128)/K128*100,"")</f>
        <v/>
      </c>
    </row>
    <row r="129">
      <c r="A129" t="n">
        <v>128</v>
      </c>
      <c r="B129" t="inlineStr">
        <is>
          <t>BW60687</t>
        </is>
      </c>
      <c r="C129" t="inlineStr">
        <is>
          <t>BYWIN TOALLITAS HUMEDAS X 100 UND PLAY DOH</t>
        </is>
      </c>
      <c r="D129" t="inlineStr">
        <is>
          <t>Cuidado Personal y Salud</t>
        </is>
      </c>
      <c r="E129" t="inlineStr">
        <is>
          <t>Toallitas Húmedas</t>
        </is>
      </c>
      <c r="F129" t="inlineStr">
        <is>
          <t>Toallitas Húmedas con Licencia</t>
        </is>
      </c>
      <c r="G129" s="8" t="n">
        <v>841.5</v>
      </c>
      <c r="H129" s="9" t="n">
        <v>234</v>
      </c>
      <c r="I129" t="n">
        <v>178</v>
      </c>
      <c r="J129" s="10" t="n">
        <v>46168</v>
      </c>
      <c r="K129" s="8" t="n">
        <v>3.6</v>
      </c>
      <c r="L129" s="6" t="inlineStr"/>
      <c r="M129" s="7">
        <f>IF(L129&gt;0,(K129-L129)/K129*100,"")</f>
        <v/>
      </c>
    </row>
    <row r="130">
      <c r="A130" s="2" t="n">
        <v>129</v>
      </c>
      <c r="B130" s="2" t="inlineStr">
        <is>
          <t>EGV-E</t>
        </is>
      </c>
      <c r="C130" s="2" t="inlineStr">
        <is>
          <t>ESTUCHE GEOMETRICO VINFAN ECONOMICO 30cm</t>
        </is>
      </c>
      <c r="D130" s="2" t="inlineStr">
        <is>
          <t>Librería y Oficina</t>
        </is>
      </c>
      <c r="E130" s="2" t="inlineStr">
        <is>
          <t>Útiles Escolares</t>
        </is>
      </c>
      <c r="F130" s="2" t="inlineStr">
        <is>
          <t>Estuches Geométricos</t>
        </is>
      </c>
      <c r="G130" s="3" t="n">
        <v>840.39</v>
      </c>
      <c r="H130" s="4" t="n">
        <v>225</v>
      </c>
      <c r="I130" s="2" t="n">
        <v>170</v>
      </c>
      <c r="J130" s="5" t="n">
        <v>46121</v>
      </c>
      <c r="K130" s="3" t="n">
        <v>3.71</v>
      </c>
      <c r="L130" s="6" t="inlineStr"/>
      <c r="M130" s="7">
        <f>IF(L130&gt;0,(K130-L130)/K130*100,"")</f>
        <v/>
      </c>
    </row>
    <row r="131">
      <c r="A131" t="n">
        <v>130</v>
      </c>
      <c r="B131" t="inlineStr">
        <is>
          <t>77420205274819</t>
        </is>
      </c>
      <c r="C131" t="inlineStr">
        <is>
          <t>FORRO VINIFORRO T/A4 X 5 mts</t>
        </is>
      </c>
      <c r="D131" t="inlineStr">
        <is>
          <t>Librería y Oficina</t>
        </is>
      </c>
      <c r="E131" t="inlineStr">
        <is>
          <t>Útiles Escolares</t>
        </is>
      </c>
      <c r="F131" t="inlineStr">
        <is>
          <t>Forros para Cuadernos</t>
        </is>
      </c>
      <c r="G131" s="8" t="n">
        <v>835</v>
      </c>
      <c r="H131" s="9" t="n">
        <v>167</v>
      </c>
      <c r="I131" t="n">
        <v>127</v>
      </c>
      <c r="J131" s="10" t="n">
        <v>46137</v>
      </c>
      <c r="K131" s="8" t="n">
        <v>5</v>
      </c>
      <c r="L131" s="6" t="inlineStr"/>
      <c r="M131" s="7">
        <f>IF(L131&gt;0,(K131-L131)/K131*100,"")</f>
        <v/>
      </c>
    </row>
    <row r="132">
      <c r="A132" s="2" t="n">
        <v>131</v>
      </c>
      <c r="B132" s="2" t="inlineStr">
        <is>
          <t>75875160742622</t>
        </is>
      </c>
      <c r="C132" s="2" t="inlineStr">
        <is>
          <t>SH Nutribela Reparación 400ml SHAMPOO</t>
        </is>
      </c>
      <c r="D132" s="2" t="inlineStr">
        <is>
          <t>Cuidado Personal y Salud</t>
        </is>
      </c>
      <c r="E132" s="2" t="inlineStr">
        <is>
          <t>Cuidado del Cabello</t>
        </is>
      </c>
      <c r="F132" s="2" t="inlineStr">
        <is>
          <t>Shampoo</t>
        </is>
      </c>
      <c r="G132" s="3" t="n">
        <v>834.4</v>
      </c>
      <c r="H132" s="4" t="n">
        <v>56</v>
      </c>
      <c r="I132" s="2" t="n">
        <v>56</v>
      </c>
      <c r="J132" s="5" t="n">
        <v>46175</v>
      </c>
      <c r="K132" s="3" t="n">
        <v>14.9</v>
      </c>
      <c r="L132" s="6" t="inlineStr"/>
      <c r="M132" s="7">
        <f>IF(L132&gt;0,(K132-L132)/K132*100,"")</f>
        <v/>
      </c>
    </row>
    <row r="133">
      <c r="A133" t="n">
        <v>132</v>
      </c>
      <c r="B133" t="inlineStr">
        <is>
          <t>75349132312524</t>
        </is>
      </c>
      <c r="C133" t="inlineStr">
        <is>
          <t>BYWIN TOALLITAS HUMEDAS X 25 UND UNIVERSITARIO CLASIC</t>
        </is>
      </c>
      <c r="D133" t="inlineStr">
        <is>
          <t>Cuidado Personal y Salud</t>
        </is>
      </c>
      <c r="E133" t="inlineStr">
        <is>
          <t>Toallitas Húmedas</t>
        </is>
      </c>
      <c r="F133" t="inlineStr">
        <is>
          <t>Toallitas Húmedas con Licencia</t>
        </is>
      </c>
      <c r="G133" s="8" t="n">
        <v>830.4</v>
      </c>
      <c r="H133" s="9" t="n">
        <v>692</v>
      </c>
      <c r="I133" t="n">
        <v>456</v>
      </c>
      <c r="J133" s="10" t="n">
        <v>46178</v>
      </c>
      <c r="K133" s="8" t="n">
        <v>1.2</v>
      </c>
      <c r="L133" s="6" t="inlineStr"/>
      <c r="M133" s="7">
        <f>IF(L133&gt;0,(K133-L133)/K133*100,"")</f>
        <v/>
      </c>
    </row>
    <row r="134">
      <c r="A134" s="2" t="n">
        <v>133</v>
      </c>
      <c r="B134" s="2" t="inlineStr">
        <is>
          <t>60302</t>
        </is>
      </c>
      <c r="C134" s="2" t="inlineStr">
        <is>
          <t>PACK TOALLITA HUMEDA X100 X2</t>
        </is>
      </c>
      <c r="D134" s="2" t="inlineStr">
        <is>
          <t>Cuidado Personal y Salud</t>
        </is>
      </c>
      <c r="E134" s="2" t="inlineStr">
        <is>
          <t>Toallitas Húmedas</t>
        </is>
      </c>
      <c r="F134" s="2" t="inlineStr">
        <is>
          <t>Toallitas Húmedas Básicas</t>
        </is>
      </c>
      <c r="G134" s="3" t="n">
        <v>829.5</v>
      </c>
      <c r="H134" s="4" t="n">
        <v>105</v>
      </c>
      <c r="I134" s="2" t="n">
        <v>89</v>
      </c>
      <c r="J134" s="5" t="n">
        <v>46178</v>
      </c>
      <c r="K134" s="3" t="n">
        <v>7.9</v>
      </c>
      <c r="L134" s="6" t="inlineStr"/>
      <c r="M134" s="7">
        <f>IF(L134&gt;0,(K134-L134)/K134*100,"")</f>
        <v/>
      </c>
    </row>
    <row r="135">
      <c r="A135" t="n">
        <v>134</v>
      </c>
      <c r="B135" t="inlineStr">
        <is>
          <t>P1518</t>
        </is>
      </c>
      <c r="C135" t="inlineStr">
        <is>
          <t>PISO MEDIANO</t>
        </is>
      </c>
      <c r="D135" t="inlineStr">
        <is>
          <t>Bebé e Infantil</t>
        </is>
      </c>
      <c r="E135" t="inlineStr">
        <is>
          <t>Cuidado Infantil</t>
        </is>
      </c>
      <c r="F135" t="inlineStr">
        <is>
          <t>Cuidado Infantil</t>
        </is>
      </c>
      <c r="G135" s="8" t="n">
        <v>820.4</v>
      </c>
      <c r="H135" s="9" t="n">
        <v>50</v>
      </c>
      <c r="I135" t="n">
        <v>48</v>
      </c>
      <c r="J135" s="10" t="n">
        <v>46167</v>
      </c>
      <c r="K135" s="8" t="n">
        <v>16.4</v>
      </c>
      <c r="L135" s="6" t="inlineStr"/>
      <c r="M135" s="7">
        <f>IF(L135&gt;0,(K135-L135)/K135*100,"")</f>
        <v/>
      </c>
    </row>
    <row r="136">
      <c r="A136" s="2" t="n">
        <v>135</v>
      </c>
      <c r="B136" s="2" t="inlineStr">
        <is>
          <t>BW60339</t>
        </is>
      </c>
      <c r="C136" s="2" t="inlineStr">
        <is>
          <t>TOALLITAS HUMEDAS  BYWIN X 25</t>
        </is>
      </c>
      <c r="D136" s="2" t="inlineStr">
        <is>
          <t>Cuidado Personal y Salud</t>
        </is>
      </c>
      <c r="E136" s="2" t="inlineStr">
        <is>
          <t>Toallitas Húmedas</t>
        </is>
      </c>
      <c r="F136" s="2" t="inlineStr">
        <is>
          <t>Toallitas Húmedas con Licencia</t>
        </is>
      </c>
      <c r="G136" s="3" t="n">
        <v>819.6</v>
      </c>
      <c r="H136" s="4" t="n">
        <v>683</v>
      </c>
      <c r="I136" s="2" t="n">
        <v>506</v>
      </c>
      <c r="J136" s="5" t="n">
        <v>46178</v>
      </c>
      <c r="K136" s="3" t="n">
        <v>1.2</v>
      </c>
      <c r="L136" s="6" t="inlineStr"/>
      <c r="M136" s="7">
        <f>IF(L136&gt;0,(K136-L136)/K136*100,"")</f>
        <v/>
      </c>
    </row>
    <row r="137">
      <c r="A137" t="n">
        <v>136</v>
      </c>
      <c r="B137" t="inlineStr">
        <is>
          <t>43007060</t>
        </is>
      </c>
      <c r="C137" t="inlineStr">
        <is>
          <t>Tomatodo termo</t>
        </is>
      </c>
      <c r="D137" t="inlineStr">
        <is>
          <t>Hogar y Decoración</t>
        </is>
      </c>
      <c r="E137" t="inlineStr">
        <is>
          <t>Menaje de Cocina</t>
        </is>
      </c>
      <c r="F137" t="inlineStr">
        <is>
          <t>Termos</t>
        </is>
      </c>
      <c r="G137" s="8" t="n">
        <v>819.5</v>
      </c>
      <c r="H137" s="9" t="n">
        <v>55</v>
      </c>
      <c r="I137" t="n">
        <v>49</v>
      </c>
      <c r="J137" s="10" t="n">
        <v>46173</v>
      </c>
      <c r="K137" s="8" t="n">
        <v>14.9</v>
      </c>
      <c r="L137" s="6" t="inlineStr"/>
      <c r="M137" s="7">
        <f>IF(L137&gt;0,(K137-L137)/K137*100,"")</f>
        <v/>
      </c>
    </row>
    <row r="138">
      <c r="A138" s="2" t="n">
        <v>137</v>
      </c>
      <c r="B138" s="2" t="inlineStr">
        <is>
          <t>2000540016</t>
        </is>
      </c>
      <c r="C138" s="2" t="inlineStr">
        <is>
          <t>MASA PARA MOLDEAR LAYCONSA 5 X 2OZ</t>
        </is>
      </c>
      <c r="D138" s="2" t="inlineStr">
        <is>
          <t>Librería y Oficina</t>
        </is>
      </c>
      <c r="E138" s="2" t="inlineStr">
        <is>
          <t>Útiles Escolares</t>
        </is>
      </c>
      <c r="F138" s="2" t="inlineStr">
        <is>
          <t>Plastilinas y Masas</t>
        </is>
      </c>
      <c r="G138" s="3" t="n">
        <v>815.9299999999999</v>
      </c>
      <c r="H138" s="4" t="n">
        <v>72</v>
      </c>
      <c r="I138" s="2" t="n">
        <v>54</v>
      </c>
      <c r="J138" s="5" t="n">
        <v>46148</v>
      </c>
      <c r="K138" s="3" t="n">
        <v>11.44</v>
      </c>
      <c r="L138" s="6" t="inlineStr"/>
      <c r="M138" s="7">
        <f>IF(L138&gt;0,(K138-L138)/K138*100,"")</f>
        <v/>
      </c>
    </row>
    <row r="139">
      <c r="A139" t="n">
        <v>138</v>
      </c>
      <c r="B139" t="inlineStr">
        <is>
          <t>130278</t>
        </is>
      </c>
      <c r="C139" t="inlineStr">
        <is>
          <t>Set de Costura</t>
        </is>
      </c>
      <c r="D139" t="inlineStr">
        <is>
          <t>Dormitorio</t>
        </is>
      </c>
      <c r="E139" t="inlineStr">
        <is>
          <t>Mercería</t>
        </is>
      </c>
      <c r="F139" t="inlineStr">
        <is>
          <t>Accesorios de Costura</t>
        </is>
      </c>
      <c r="G139" s="8" t="n">
        <v>809.13</v>
      </c>
      <c r="H139" s="9" t="n">
        <v>324</v>
      </c>
      <c r="I139" t="n">
        <v>272</v>
      </c>
      <c r="J139" s="10" t="n">
        <v>46130</v>
      </c>
      <c r="K139" s="8" t="n">
        <v>2.5</v>
      </c>
      <c r="L139" s="6" t="inlineStr"/>
      <c r="M139" s="7">
        <f>IF(L139&gt;0,(K139-L139)/K139*100,"")</f>
        <v/>
      </c>
    </row>
    <row r="140">
      <c r="A140" s="2" t="n">
        <v>139</v>
      </c>
      <c r="B140" s="2" t="inlineStr">
        <is>
          <t>777565</t>
        </is>
      </c>
      <c r="C140" s="2" t="inlineStr">
        <is>
          <t>BOLIG YIMI SURT (FCOX50)</t>
        </is>
      </c>
      <c r="D140" s="2" t="inlineStr">
        <is>
          <t>Librería y Oficina</t>
        </is>
      </c>
      <c r="E140" s="2" t="inlineStr">
        <is>
          <t>Útiles Escolares</t>
        </is>
      </c>
      <c r="F140" s="2" t="inlineStr">
        <is>
          <t>Lápices y Lapiceros</t>
        </is>
      </c>
      <c r="G140" s="3" t="n">
        <v>808.33</v>
      </c>
      <c r="H140" s="4" t="n">
        <v>55</v>
      </c>
      <c r="I140" s="2" t="n">
        <v>49</v>
      </c>
      <c r="J140" s="5" t="n">
        <v>46106</v>
      </c>
      <c r="K140" s="3" t="n">
        <v>14.79</v>
      </c>
      <c r="L140" s="6" t="inlineStr"/>
      <c r="M140" s="7">
        <f>IF(L140&gt;0,(K140-L140)/K140*100,"")</f>
        <v/>
      </c>
    </row>
    <row r="141">
      <c r="A141" t="n">
        <v>140</v>
      </c>
      <c r="B141" t="inlineStr">
        <is>
          <t>MN131</t>
        </is>
      </c>
      <c r="C141" t="inlineStr">
        <is>
          <t>Plancha de juguete Sellador</t>
        </is>
      </c>
      <c r="D141" t="inlineStr">
        <is>
          <t>Juguetes y Juegos</t>
        </is>
      </c>
      <c r="E141" t="inlineStr">
        <is>
          <t>Juguetes</t>
        </is>
      </c>
      <c r="F141" t="inlineStr">
        <is>
          <t>Juguetes Variados</t>
        </is>
      </c>
      <c r="G141" s="8" t="n">
        <v>806.42</v>
      </c>
      <c r="H141" s="9" t="n">
        <v>99</v>
      </c>
      <c r="I141" t="n">
        <v>86</v>
      </c>
      <c r="J141" s="10" t="n">
        <v>46112</v>
      </c>
      <c r="K141" s="8" t="n">
        <v>8.16</v>
      </c>
      <c r="L141" s="6" t="inlineStr"/>
      <c r="M141" s="7">
        <f>IF(L141&gt;0,(K141-L141)/K141*100,"")</f>
        <v/>
      </c>
    </row>
    <row r="142">
      <c r="A142" s="2" t="n">
        <v>141</v>
      </c>
      <c r="B142" s="2" t="inlineStr">
        <is>
          <t>MS-3346</t>
        </is>
      </c>
      <c r="C142" s="2" t="inlineStr">
        <is>
          <t>Tomatodo Play Hard 1L</t>
        </is>
      </c>
      <c r="D142" s="2" t="inlineStr">
        <is>
          <t>Hogar y Decoración</t>
        </is>
      </c>
      <c r="E142" s="2" t="inlineStr">
        <is>
          <t>Menaje de Cocina</t>
        </is>
      </c>
      <c r="F142" s="2" t="inlineStr">
        <is>
          <t>Tomatodos y Botellas</t>
        </is>
      </c>
      <c r="G142" s="3" t="n">
        <v>801.9</v>
      </c>
      <c r="H142" s="4" t="n">
        <v>81</v>
      </c>
      <c r="I142" s="2" t="n">
        <v>68</v>
      </c>
      <c r="J142" s="5" t="n">
        <v>46156</v>
      </c>
      <c r="K142" s="3" t="n">
        <v>9.9</v>
      </c>
      <c r="L142" s="6" t="inlineStr"/>
      <c r="M142" s="7">
        <f>IF(L142&gt;0,(K142-L142)/K142*100,"")</f>
        <v/>
      </c>
    </row>
    <row r="143">
      <c r="A143" t="n">
        <v>142</v>
      </c>
      <c r="B143" t="inlineStr">
        <is>
          <t>DYB-989</t>
        </is>
      </c>
      <c r="C143" t="inlineStr">
        <is>
          <t>BOTELLA DE ACERO INOXIDABLE 960ML</t>
        </is>
      </c>
      <c r="D143" t="inlineStr">
        <is>
          <t>Hogar y Decoración</t>
        </is>
      </c>
      <c r="E143" t="inlineStr">
        <is>
          <t>Menaje de Cocina</t>
        </is>
      </c>
      <c r="F143" t="inlineStr">
        <is>
          <t>Tomatodos y Botellas</t>
        </is>
      </c>
      <c r="G143" s="8" t="n">
        <v>798</v>
      </c>
      <c r="H143" s="9" t="n">
        <v>28</v>
      </c>
      <c r="I143" t="n">
        <v>26</v>
      </c>
      <c r="J143" s="10" t="n">
        <v>46129</v>
      </c>
      <c r="K143" s="8" t="n">
        <v>28.5</v>
      </c>
      <c r="L143" s="6" t="inlineStr"/>
      <c r="M143" s="7">
        <f>IF(L143&gt;0,(K143-L143)/K143*100,"")</f>
        <v/>
      </c>
    </row>
    <row r="144">
      <c r="A144" s="2" t="n">
        <v>143</v>
      </c>
      <c r="B144" s="2" t="inlineStr">
        <is>
          <t>B1702</t>
        </is>
      </c>
      <c r="C144" s="2" t="inlineStr">
        <is>
          <t>JUEGO DE TIJERAS</t>
        </is>
      </c>
      <c r="D144" s="2" t="inlineStr">
        <is>
          <t>Librería y Oficina</t>
        </is>
      </c>
      <c r="E144" s="2" t="inlineStr">
        <is>
          <t>Útiles Escolares</t>
        </is>
      </c>
      <c r="F144" s="2" t="inlineStr">
        <is>
          <t>Tijeras y Reglas</t>
        </is>
      </c>
      <c r="G144" s="3" t="n">
        <v>791.25</v>
      </c>
      <c r="H144" s="4" t="n">
        <v>159</v>
      </c>
      <c r="I144" s="2" t="n">
        <v>138</v>
      </c>
      <c r="J144" s="5" t="n">
        <v>46109</v>
      </c>
      <c r="K144" s="3" t="n">
        <v>4.99</v>
      </c>
      <c r="L144" s="6" t="inlineStr"/>
      <c r="M144" s="7">
        <f>IF(L144&gt;0,(K144-L144)/K144*100,"")</f>
        <v/>
      </c>
    </row>
    <row r="145">
      <c r="A145" t="n">
        <v>144</v>
      </c>
      <c r="B145" t="inlineStr">
        <is>
          <t>BXW-016</t>
        </is>
      </c>
      <c r="C145" t="inlineStr">
        <is>
          <t>taper de vidrio círculo pequeño</t>
        </is>
      </c>
      <c r="G145" s="8" t="n">
        <v>788</v>
      </c>
      <c r="H145" s="9" t="n">
        <v>144</v>
      </c>
      <c r="I145" t="n">
        <v>103</v>
      </c>
      <c r="J145" s="10" t="n">
        <v>46105</v>
      </c>
      <c r="K145" s="8" t="n">
        <v>5.49</v>
      </c>
      <c r="L145" s="6" t="inlineStr"/>
      <c r="M145" s="7">
        <f>IF(L145&gt;0,(K145-L145)/K145*100,"")</f>
        <v/>
      </c>
    </row>
    <row r="146">
      <c r="A146" s="2" t="n">
        <v>145</v>
      </c>
      <c r="B146" s="2" t="inlineStr">
        <is>
          <t>E7461DF</t>
        </is>
      </c>
      <c r="C146" s="2" t="inlineStr">
        <is>
          <t>ESPEJO CIRCULAR</t>
        </is>
      </c>
      <c r="D146" s="2" t="inlineStr">
        <is>
          <t>Belleza</t>
        </is>
      </c>
      <c r="E146" s="2" t="inlineStr">
        <is>
          <t>Accesorios de Belleza</t>
        </is>
      </c>
      <c r="F146" s="2" t="inlineStr">
        <is>
          <t>Espejos</t>
        </is>
      </c>
      <c r="G146" s="3" t="n">
        <v>779.1</v>
      </c>
      <c r="H146" s="4" t="n">
        <v>49</v>
      </c>
      <c r="I146" s="2" t="n">
        <v>47</v>
      </c>
      <c r="J146" s="5" t="n">
        <v>46138</v>
      </c>
      <c r="K146" s="3" t="n">
        <v>15.9</v>
      </c>
      <c r="L146" s="6" t="inlineStr"/>
      <c r="M146" s="7">
        <f>IF(L146&gt;0,(K146-L146)/K146*100,"")</f>
        <v/>
      </c>
    </row>
    <row r="147">
      <c r="A147" t="n">
        <v>146</v>
      </c>
      <c r="B147" t="inlineStr">
        <is>
          <t>348546</t>
        </is>
      </c>
      <c r="C147" t="inlineStr">
        <is>
          <t>PLASTILINA X 12 JUMBO FAB EST CARTON</t>
        </is>
      </c>
      <c r="D147" t="inlineStr">
        <is>
          <t>Librería y Oficina</t>
        </is>
      </c>
      <c r="E147" t="inlineStr">
        <is>
          <t>Útiles Escolares</t>
        </is>
      </c>
      <c r="F147" t="inlineStr">
        <is>
          <t>Plastilinas y Masas</t>
        </is>
      </c>
      <c r="G147" s="8" t="n">
        <v>775.51</v>
      </c>
      <c r="H147" s="9" t="n">
        <v>169</v>
      </c>
      <c r="I147" t="n">
        <v>103</v>
      </c>
      <c r="J147" s="10" t="n">
        <v>46114</v>
      </c>
      <c r="K147" s="8" t="n">
        <v>4.7</v>
      </c>
      <c r="L147" s="6" t="inlineStr"/>
      <c r="M147" s="7">
        <f>IF(L147&gt;0,(K147-L147)/K147*100,"")</f>
        <v/>
      </c>
    </row>
    <row r="148">
      <c r="A148" s="2" t="n">
        <v>147</v>
      </c>
      <c r="B148" s="2" t="inlineStr">
        <is>
          <t>KD-2931</t>
        </is>
      </c>
      <c r="C148" s="2" t="inlineStr">
        <is>
          <t>CALCULADORA KAWAII</t>
        </is>
      </c>
      <c r="D148" s="2" t="inlineStr">
        <is>
          <t>Tendencias Kawaii</t>
        </is>
      </c>
      <c r="E148" s="2" t="inlineStr">
        <is>
          <t>Decoración Kawaii</t>
        </is>
      </c>
      <c r="F148" s="2" t="inlineStr">
        <is>
          <t>Accesorios de Hogar Kawaii</t>
        </is>
      </c>
      <c r="G148" s="3" t="n">
        <v>772.8099999999999</v>
      </c>
      <c r="H148" s="4" t="n">
        <v>71</v>
      </c>
      <c r="I148" s="2" t="n">
        <v>66</v>
      </c>
      <c r="J148" s="5" t="n">
        <v>46145</v>
      </c>
      <c r="K148" s="3" t="n">
        <v>10.88</v>
      </c>
      <c r="L148" s="6" t="inlineStr"/>
      <c r="M148" s="7">
        <f>IF(L148&gt;0,(K148-L148)/K148*100,"")</f>
        <v/>
      </c>
    </row>
    <row r="149">
      <c r="A149" t="n">
        <v>148</v>
      </c>
      <c r="B149" t="inlineStr">
        <is>
          <t>MEKA-10</t>
        </is>
      </c>
      <c r="C149" t="inlineStr">
        <is>
          <t>LAPICERO MULTICOLOR X50 EN CAJA PREM</t>
        </is>
      </c>
      <c r="D149" t="inlineStr">
        <is>
          <t>Librería y Oficina</t>
        </is>
      </c>
      <c r="E149" t="inlineStr">
        <is>
          <t>Útiles Escolares</t>
        </is>
      </c>
      <c r="F149" t="inlineStr">
        <is>
          <t>Lápices y Lapiceros</t>
        </is>
      </c>
      <c r="G149" s="8" t="n">
        <v>771.3</v>
      </c>
      <c r="H149" s="9" t="n">
        <v>47</v>
      </c>
      <c r="I149" t="n">
        <v>38</v>
      </c>
      <c r="J149" s="10" t="n">
        <v>46107</v>
      </c>
      <c r="K149" s="8" t="n">
        <v>16.74</v>
      </c>
      <c r="L149" s="6" t="inlineStr"/>
      <c r="M149" s="7">
        <f>IF(L149&gt;0,(K149-L149)/K149*100,"")</f>
        <v/>
      </c>
    </row>
    <row r="150">
      <c r="A150" s="2" t="n">
        <v>149</v>
      </c>
      <c r="B150" s="2" t="inlineStr">
        <is>
          <t>882967</t>
        </is>
      </c>
      <c r="C150" s="2" t="inlineStr">
        <is>
          <t>MASKING 2 X 15 YD ECOFAN</t>
        </is>
      </c>
      <c r="D150" s="2" t="inlineStr">
        <is>
          <t>Librería y Oficina</t>
        </is>
      </c>
      <c r="E150" s="2" t="inlineStr">
        <is>
          <t>Útiles Escolares</t>
        </is>
      </c>
      <c r="F150" s="2" t="inlineStr">
        <is>
          <t>Cintas y Contact</t>
        </is>
      </c>
      <c r="G150" s="3" t="n">
        <v>769.65</v>
      </c>
      <c r="H150" s="4" t="n">
        <v>228</v>
      </c>
      <c r="I150" s="2" t="n">
        <v>132</v>
      </c>
      <c r="J150" s="5" t="n">
        <v>46110</v>
      </c>
      <c r="K150" s="3" t="n">
        <v>3.43</v>
      </c>
      <c r="L150" s="6" t="inlineStr"/>
      <c r="M150" s="7">
        <f>IF(L150&gt;0,(K150-L150)/K150*100,"")</f>
        <v/>
      </c>
    </row>
    <row r="151">
      <c r="A151" t="n">
        <v>150</v>
      </c>
      <c r="B151" t="inlineStr">
        <is>
          <t>CCX-125</t>
        </is>
      </c>
      <c r="C151" t="inlineStr">
        <is>
          <t>Lapizeros escarchado</t>
        </is>
      </c>
      <c r="D151" t="inlineStr">
        <is>
          <t>Librería y Oficina</t>
        </is>
      </c>
      <c r="E151" t="inlineStr">
        <is>
          <t>Útiles Escolares</t>
        </is>
      </c>
      <c r="F151" t="inlineStr">
        <is>
          <t>Lápices y Lapiceros</t>
        </is>
      </c>
      <c r="G151" s="8" t="n">
        <v>765.1799999999999</v>
      </c>
      <c r="H151" s="9" t="n">
        <v>72</v>
      </c>
      <c r="I151" t="n">
        <v>57</v>
      </c>
      <c r="J151" s="10" t="n">
        <v>46106</v>
      </c>
      <c r="K151" s="8" t="n">
        <v>10.75</v>
      </c>
      <c r="L151" s="6" t="inlineStr"/>
      <c r="M151" s="7">
        <f>IF(L151&gt;0,(K151-L151)/K151*100,"")</f>
        <v/>
      </c>
    </row>
    <row r="152">
      <c r="A152" s="2" t="n">
        <v>151</v>
      </c>
      <c r="B152" s="2" t="inlineStr">
        <is>
          <t>CJS166</t>
        </is>
      </c>
      <c r="C152" s="2" t="inlineStr">
        <is>
          <t>Pelcuche Chancho tiburón</t>
        </is>
      </c>
      <c r="D152" s="2" t="inlineStr">
        <is>
          <t>Tendencias Kawaii</t>
        </is>
      </c>
      <c r="E152" s="2" t="inlineStr">
        <is>
          <t>Peluches</t>
        </is>
      </c>
      <c r="F152" s="2" t="inlineStr">
        <is>
          <t>Peluches Kawaii</t>
        </is>
      </c>
      <c r="G152" s="3" t="n">
        <v>763.2</v>
      </c>
      <c r="H152" s="4" t="n">
        <v>48</v>
      </c>
      <c r="I152" s="2" t="n">
        <v>47</v>
      </c>
      <c r="J152" s="5" t="n">
        <v>46147</v>
      </c>
      <c r="K152" s="3" t="n">
        <v>15.9</v>
      </c>
      <c r="L152" s="6" t="inlineStr"/>
      <c r="M152" s="7">
        <f>IF(L152&gt;0,(K152-L152)/K152*100,"")</f>
        <v/>
      </c>
    </row>
    <row r="153">
      <c r="A153" t="n">
        <v>152</v>
      </c>
      <c r="B153" t="inlineStr">
        <is>
          <t>SC-15</t>
        </is>
      </c>
      <c r="C153" t="inlineStr">
        <is>
          <t>DOU-15 HERVIDORA</t>
        </is>
      </c>
      <c r="D153" t="inlineStr">
        <is>
          <t>Electrohogar</t>
        </is>
      </c>
      <c r="E153" t="inlineStr">
        <is>
          <t>Electrodomésticos de Cocina</t>
        </is>
      </c>
      <c r="F153" t="inlineStr">
        <is>
          <t>Hervidores</t>
        </is>
      </c>
      <c r="G153" s="8" t="n">
        <v>762.41</v>
      </c>
      <c r="H153" s="9" t="n">
        <v>24</v>
      </c>
      <c r="I153" t="n">
        <v>23</v>
      </c>
      <c r="J153" s="10" t="n">
        <v>46164</v>
      </c>
      <c r="K153" s="8" t="n">
        <v>31.76</v>
      </c>
      <c r="L153" s="6" t="inlineStr"/>
      <c r="M153" s="7">
        <f>IF(L153&gt;0,(K153-L153)/K153*100,"")</f>
        <v/>
      </c>
    </row>
    <row r="154">
      <c r="A154" s="2" t="n">
        <v>153</v>
      </c>
      <c r="B154" s="2" t="inlineStr">
        <is>
          <t>GF-3620</t>
        </is>
      </c>
      <c r="C154" s="2" t="inlineStr">
        <is>
          <t>ROSA ARTIFICAL CUPULA CON LUCES</t>
        </is>
      </c>
      <c r="D154" s="2" t="inlineStr">
        <is>
          <t>Temporada y Celebraciones</t>
        </is>
      </c>
      <c r="E154" s="2" t="inlineStr">
        <is>
          <t>Regalos y Novedades</t>
        </is>
      </c>
      <c r="F154" s="2" t="inlineStr">
        <is>
          <t>Detalles dia madre</t>
        </is>
      </c>
      <c r="G154" s="3" t="n">
        <v>761.04</v>
      </c>
      <c r="H154" s="4" t="n">
        <v>72</v>
      </c>
      <c r="I154" s="2" t="n">
        <v>37</v>
      </c>
      <c r="J154" s="5" t="n">
        <v>46152</v>
      </c>
      <c r="K154" s="3" t="n">
        <v>10.78</v>
      </c>
      <c r="L154" s="6" t="inlineStr"/>
      <c r="M154" s="7">
        <f>IF(L154&gt;0,(K154-L154)/K154*100,"")</f>
        <v/>
      </c>
    </row>
    <row r="155">
      <c r="A155" t="n">
        <v>154</v>
      </c>
      <c r="B155" t="inlineStr">
        <is>
          <t>75875160715571</t>
        </is>
      </c>
      <c r="C155" t="inlineStr">
        <is>
          <t>SH Nutribela Célula Madre 400ml SHAMPOO</t>
        </is>
      </c>
      <c r="D155" t="inlineStr">
        <is>
          <t>Cuidado Personal y Salud</t>
        </is>
      </c>
      <c r="E155" t="inlineStr">
        <is>
          <t>Cuidado del Cabello</t>
        </is>
      </c>
      <c r="F155" t="inlineStr">
        <is>
          <t>Shampoo</t>
        </is>
      </c>
      <c r="G155" s="8" t="n">
        <v>759.9</v>
      </c>
      <c r="H155" s="9" t="n">
        <v>51</v>
      </c>
      <c r="I155" t="n">
        <v>50</v>
      </c>
      <c r="J155" s="10" t="n">
        <v>46175</v>
      </c>
      <c r="K155" s="8" t="n">
        <v>14.9</v>
      </c>
      <c r="L155" s="6" t="inlineStr"/>
      <c r="M155" s="7">
        <f>IF(L155&gt;0,(K155-L155)/K155*100,"")</f>
        <v/>
      </c>
    </row>
    <row r="156">
      <c r="A156" s="2" t="n">
        <v>155</v>
      </c>
      <c r="B156" s="2" t="inlineStr">
        <is>
          <t>76203884722542</t>
        </is>
      </c>
      <c r="C156" s="2" t="inlineStr">
        <is>
          <t>CT Nutribela Biokeratina 300ml</t>
        </is>
      </c>
      <c r="D156" s="2" t="inlineStr">
        <is>
          <t>Cuidado Personal y Salud</t>
        </is>
      </c>
      <c r="E156" s="2" t="inlineStr">
        <is>
          <t>Cuidado del Cabello</t>
        </is>
      </c>
      <c r="F156" s="2" t="inlineStr">
        <is>
          <t>Acondicionadores</t>
        </is>
      </c>
      <c r="G156" s="3" t="n">
        <v>754</v>
      </c>
      <c r="H156" s="4" t="n">
        <v>52</v>
      </c>
      <c r="I156" s="2" t="n">
        <v>50</v>
      </c>
      <c r="J156" s="5" t="n">
        <v>46178</v>
      </c>
      <c r="K156" s="3" t="n">
        <v>14.5</v>
      </c>
      <c r="L156" s="6" t="inlineStr"/>
      <c r="M156" s="7">
        <f>IF(L156&gt;0,(K156-L156)/K156*100,"")</f>
        <v/>
      </c>
    </row>
    <row r="157">
      <c r="A157" t="n">
        <v>156</v>
      </c>
      <c r="B157" t="inlineStr">
        <is>
          <t>77240956606480</t>
        </is>
      </c>
      <c r="C157" t="inlineStr">
        <is>
          <t>Toalla Higienica Kotex Normal</t>
        </is>
      </c>
      <c r="D157" t="inlineStr">
        <is>
          <t>Cuidado Personal y Salud</t>
        </is>
      </c>
      <c r="E157" t="inlineStr">
        <is>
          <t>Protección Femenina</t>
        </is>
      </c>
      <c r="F157" t="inlineStr">
        <is>
          <t>Toallas Higiénicas</t>
        </is>
      </c>
      <c r="G157" s="8" t="n">
        <v>751.5</v>
      </c>
      <c r="H157" s="9" t="n">
        <v>167</v>
      </c>
      <c r="I157" t="n">
        <v>135</v>
      </c>
      <c r="J157" s="10" t="n">
        <v>46119</v>
      </c>
      <c r="K157" s="8" t="n">
        <v>4.5</v>
      </c>
      <c r="L157" s="6" t="inlineStr"/>
      <c r="M157" s="7">
        <f>IF(L157&gt;0,(K157-L157)/K157*100,"")</f>
        <v/>
      </c>
    </row>
    <row r="158">
      <c r="A158" s="2" t="n">
        <v>157</v>
      </c>
      <c r="B158" s="2" t="inlineStr">
        <is>
          <t>RRO228</t>
        </is>
      </c>
      <c r="C158" s="2" t="inlineStr">
        <is>
          <t>Set de mini taper (CJAX96)</t>
        </is>
      </c>
      <c r="D158" s="2" t="inlineStr">
        <is>
          <t>Hogar y Decoración</t>
        </is>
      </c>
      <c r="E158" s="2" t="inlineStr">
        <is>
          <t>Menaje de Cocina</t>
        </is>
      </c>
      <c r="F158" s="2" t="inlineStr">
        <is>
          <t>Tapers y Contenedores</t>
        </is>
      </c>
      <c r="G158" s="3" t="n">
        <v>748.8</v>
      </c>
      <c r="H158" s="4" t="n">
        <v>192</v>
      </c>
      <c r="I158" s="2" t="n">
        <v>184</v>
      </c>
      <c r="J158" s="5" t="n">
        <v>46150</v>
      </c>
      <c r="K158" s="3" t="n">
        <v>3.9</v>
      </c>
      <c r="L158" s="6" t="inlineStr"/>
      <c r="M158" s="7">
        <f>IF(L158&gt;0,(K158-L158)/K158*100,"")</f>
        <v/>
      </c>
    </row>
    <row r="159">
      <c r="A159" t="n">
        <v>158</v>
      </c>
      <c r="B159" t="inlineStr">
        <is>
          <t>BC-A4</t>
        </is>
      </c>
      <c r="C159" t="inlineStr">
        <is>
          <t>Block Cartulina A4</t>
        </is>
      </c>
      <c r="D159" t="inlineStr">
        <is>
          <t>Librería y Oficina</t>
        </is>
      </c>
      <c r="E159" t="inlineStr">
        <is>
          <t>Útiles Escolares</t>
        </is>
      </c>
      <c r="F159" t="inlineStr">
        <is>
          <t>Cuadernos y Blocks</t>
        </is>
      </c>
      <c r="G159" s="8" t="n">
        <v>748.58</v>
      </c>
      <c r="H159" s="9" t="n">
        <v>160</v>
      </c>
      <c r="I159" t="n">
        <v>148</v>
      </c>
      <c r="J159" s="10" t="n">
        <v>46139</v>
      </c>
      <c r="K159" s="8" t="n">
        <v>4.7</v>
      </c>
      <c r="L159" s="6" t="inlineStr"/>
      <c r="M159" s="7">
        <f>IF(L159&gt;0,(K159-L159)/K159*100,"")</f>
        <v/>
      </c>
    </row>
    <row r="160">
      <c r="A160" s="2" t="n">
        <v>159</v>
      </c>
      <c r="B160" s="2" t="inlineStr">
        <is>
          <t>EP-8927</t>
        </is>
      </c>
      <c r="C160" s="2" t="inlineStr">
        <is>
          <t>SET PERFILADOR CEJAS</t>
        </is>
      </c>
      <c r="D160" s="2" t="inlineStr">
        <is>
          <t>Belleza</t>
        </is>
      </c>
      <c r="E160" s="2" t="inlineStr">
        <is>
          <t>Maquillaje y Cosméticos</t>
        </is>
      </c>
      <c r="F160" s="2" t="inlineStr">
        <is>
          <t>Maquillaje de Cejas</t>
        </is>
      </c>
      <c r="G160" s="3" t="n">
        <v>744.4299999999999</v>
      </c>
      <c r="H160" s="4" t="n">
        <v>262</v>
      </c>
      <c r="I160" s="2" t="n">
        <v>197</v>
      </c>
      <c r="J160" s="5" t="n">
        <v>46140</v>
      </c>
      <c r="K160" s="3" t="n">
        <v>2.9</v>
      </c>
      <c r="L160" s="6" t="inlineStr"/>
      <c r="M160" s="7">
        <f>IF(L160&gt;0,(K160-L160)/K160*100,"")</f>
        <v/>
      </c>
    </row>
    <row r="161">
      <c r="A161" t="n">
        <v>160</v>
      </c>
      <c r="B161" t="inlineStr">
        <is>
          <t>CH0103</t>
        </is>
      </c>
      <c r="C161" t="inlineStr">
        <is>
          <t>JABON LIQUIDO ANTIBACTERIAL PET MARCA CHEMICLIN (3.8L x 4UND) C</t>
        </is>
      </c>
      <c r="D161" t="inlineStr">
        <is>
          <t>Cuidado Personal y Salud</t>
        </is>
      </c>
      <c r="E161" t="inlineStr">
        <is>
          <t>Higiene Personal</t>
        </is>
      </c>
      <c r="F161" t="inlineStr">
        <is>
          <t>Jabones Liquido para Manos</t>
        </is>
      </c>
      <c r="G161" s="8" t="n">
        <v>742.5</v>
      </c>
      <c r="H161" s="9" t="n">
        <v>55</v>
      </c>
      <c r="I161" t="n">
        <v>51</v>
      </c>
      <c r="J161" s="10" t="n">
        <v>46123</v>
      </c>
      <c r="K161" s="8" t="n">
        <v>13.5</v>
      </c>
      <c r="L161" s="6" t="inlineStr"/>
      <c r="M161" s="7">
        <f>IF(L161&gt;0,(K161-L161)/K161*100,"")</f>
        <v/>
      </c>
    </row>
    <row r="162">
      <c r="A162" s="2" t="n">
        <v>161</v>
      </c>
      <c r="B162" s="2" t="inlineStr">
        <is>
          <t>KTBD-6</t>
        </is>
      </c>
      <c r="C162" s="2" t="inlineStr">
        <is>
          <t>CARTUCHERA + CALCULADORA</t>
        </is>
      </c>
      <c r="D162" s="2" t="inlineStr">
        <is>
          <t>Librería y Oficina</t>
        </is>
      </c>
      <c r="E162" s="2" t="inlineStr">
        <is>
          <t>Mochilas y Cartucheras</t>
        </is>
      </c>
      <c r="F162" s="2" t="inlineStr">
        <is>
          <t>Cartucheras</t>
        </is>
      </c>
      <c r="G162" s="3" t="n">
        <v>738.9</v>
      </c>
      <c r="H162" s="4" t="n">
        <v>51</v>
      </c>
      <c r="I162" s="2" t="n">
        <v>44</v>
      </c>
      <c r="J162" s="5" t="n">
        <v>46105</v>
      </c>
      <c r="K162" s="3" t="n">
        <v>14.5</v>
      </c>
      <c r="L162" s="6" t="inlineStr"/>
      <c r="M162" s="7">
        <f>IF(L162&gt;0,(K162-L162)/K162*100,"")</f>
        <v/>
      </c>
    </row>
    <row r="163">
      <c r="A163" t="n">
        <v>162</v>
      </c>
      <c r="B163" t="inlineStr">
        <is>
          <t>2000940006</t>
        </is>
      </c>
      <c r="C163" t="inlineStr">
        <is>
          <t>FORRO PLÁSTICO LAYCONSA A4 5M</t>
        </is>
      </c>
      <c r="D163" t="inlineStr">
        <is>
          <t>Librería y Oficina</t>
        </is>
      </c>
      <c r="E163" t="inlineStr">
        <is>
          <t>Útiles Escolares</t>
        </is>
      </c>
      <c r="F163" t="inlineStr">
        <is>
          <t>Forros para Cuadernos</t>
        </is>
      </c>
      <c r="G163" s="8" t="n">
        <v>729.12</v>
      </c>
      <c r="H163" s="9" t="n">
        <v>150</v>
      </c>
      <c r="I163" t="n">
        <v>118</v>
      </c>
      <c r="J163" s="10" t="n">
        <v>46102</v>
      </c>
      <c r="K163" s="8" t="n">
        <v>4.89</v>
      </c>
      <c r="L163" s="6" t="inlineStr"/>
      <c r="M163" s="7">
        <f>IF(L163&gt;0,(K163-L163)/K163*100,"")</f>
        <v/>
      </c>
    </row>
    <row r="164">
      <c r="A164" s="2" t="n">
        <v>163</v>
      </c>
      <c r="B164" s="2" t="inlineStr">
        <is>
          <t>XL-166</t>
        </is>
      </c>
      <c r="C164" s="2" t="inlineStr">
        <is>
          <t>PLUMON INDELEVLE DELGADO X1</t>
        </is>
      </c>
      <c r="D164" s="2" t="inlineStr">
        <is>
          <t>Librería y Oficina</t>
        </is>
      </c>
      <c r="E164" s="2" t="inlineStr">
        <is>
          <t>Útiles Escolares</t>
        </is>
      </c>
      <c r="F164" s="2" t="inlineStr">
        <is>
          <t>Plumones y Marcadores</t>
        </is>
      </c>
      <c r="G164" s="3" t="n">
        <v>726.23</v>
      </c>
      <c r="H164" s="4" t="n">
        <v>829</v>
      </c>
      <c r="I164" s="2" t="n">
        <v>439</v>
      </c>
      <c r="J164" s="5" t="n">
        <v>46109</v>
      </c>
      <c r="K164" s="3" t="n">
        <v>0.9</v>
      </c>
      <c r="L164" s="6" t="inlineStr"/>
      <c r="M164" s="7">
        <f>IF(L164&gt;0,(K164-L164)/K164*100,"")</f>
        <v/>
      </c>
    </row>
    <row r="165">
      <c r="A165" t="n">
        <v>164</v>
      </c>
      <c r="B165" t="inlineStr">
        <is>
          <t>MEKA-11</t>
        </is>
      </c>
      <c r="C165" t="inlineStr">
        <is>
          <t>LAPICERO GEL X12 CAJA</t>
        </is>
      </c>
      <c r="D165" t="inlineStr">
        <is>
          <t>Librería y Oficina</t>
        </is>
      </c>
      <c r="E165" t="inlineStr">
        <is>
          <t>Útiles Escolares</t>
        </is>
      </c>
      <c r="F165" t="inlineStr">
        <is>
          <t>Lápices y Lapiceros</t>
        </is>
      </c>
      <c r="G165" s="8" t="n">
        <v>724.62</v>
      </c>
      <c r="H165" s="9" t="n">
        <v>75</v>
      </c>
      <c r="I165" t="n">
        <v>56</v>
      </c>
      <c r="J165" s="10" t="n">
        <v>46122</v>
      </c>
      <c r="K165" s="8" t="n">
        <v>9.82</v>
      </c>
      <c r="L165" s="6" t="inlineStr"/>
      <c r="M165" s="7">
        <f>IF(L165&gt;0,(K165-L165)/K165*100,"")</f>
        <v/>
      </c>
    </row>
    <row r="166">
      <c r="A166" s="2" t="n">
        <v>165</v>
      </c>
      <c r="B166" s="2" t="inlineStr">
        <is>
          <t>AGC-10</t>
        </is>
      </c>
      <c r="C166" s="2" t="inlineStr">
        <is>
          <t>CORRECTOR GIRLS NIGHT</t>
        </is>
      </c>
      <c r="D166" s="2" t="inlineStr">
        <is>
          <t>Belleza</t>
        </is>
      </c>
      <c r="E166" s="2" t="inlineStr">
        <is>
          <t>Maquillaje y Cosméticos</t>
        </is>
      </c>
      <c r="F166" s="2" t="inlineStr">
        <is>
          <t>Base y Correctores</t>
        </is>
      </c>
      <c r="G166" s="3" t="n">
        <v>724.5</v>
      </c>
      <c r="H166" s="4" t="n">
        <v>69</v>
      </c>
      <c r="I166" s="2" t="n">
        <v>45</v>
      </c>
      <c r="J166" s="5" t="n">
        <v>46178</v>
      </c>
      <c r="K166" s="3" t="n">
        <v>10.5</v>
      </c>
      <c r="L166" s="6" t="inlineStr"/>
      <c r="M166" s="7">
        <f>IF(L166&gt;0,(K166-L166)/K166*100,"")</f>
        <v/>
      </c>
    </row>
    <row r="167">
      <c r="A167" t="n">
        <v>166</v>
      </c>
      <c r="B167" t="inlineStr">
        <is>
          <t>MEKA-12</t>
        </is>
      </c>
      <c r="C167" t="inlineStr">
        <is>
          <t>SKETCHEBOOK 26H</t>
        </is>
      </c>
      <c r="D167" t="inlineStr">
        <is>
          <t>Librería y Oficina</t>
        </is>
      </c>
      <c r="E167" t="inlineStr">
        <is>
          <t>Útiles Escolares</t>
        </is>
      </c>
      <c r="F167" t="inlineStr">
        <is>
          <t>Cuadernos y Blocks</t>
        </is>
      </c>
      <c r="G167" s="8" t="n">
        <v>720.8</v>
      </c>
      <c r="H167" s="9" t="n">
        <v>175</v>
      </c>
      <c r="I167" t="n">
        <v>136</v>
      </c>
      <c r="J167" s="10" t="n">
        <v>46101</v>
      </c>
      <c r="K167" s="8" t="n">
        <v>4.18</v>
      </c>
      <c r="L167" s="6" t="inlineStr"/>
      <c r="M167" s="7">
        <f>IF(L167&gt;0,(K167-L167)/K167*100,"")</f>
        <v/>
      </c>
    </row>
    <row r="168">
      <c r="A168" s="2" t="n">
        <v>167</v>
      </c>
      <c r="B168" s="2" t="inlineStr">
        <is>
          <t>SC-20</t>
        </is>
      </c>
      <c r="C168" s="2" t="inlineStr">
        <is>
          <t>HERVIDORA</t>
        </is>
      </c>
      <c r="D168" s="2" t="inlineStr">
        <is>
          <t>Electrohogar</t>
        </is>
      </c>
      <c r="E168" s="2" t="inlineStr">
        <is>
          <t>Electrodomésticos de Cocina</t>
        </is>
      </c>
      <c r="F168" s="2" t="inlineStr">
        <is>
          <t>Hervidores</t>
        </is>
      </c>
      <c r="G168" s="3" t="n">
        <v>720</v>
      </c>
      <c r="H168" s="4" t="n">
        <v>32</v>
      </c>
      <c r="I168" s="2" t="n">
        <v>31</v>
      </c>
      <c r="J168" s="5" t="n">
        <v>46173</v>
      </c>
      <c r="K168" s="3" t="n">
        <v>22.5</v>
      </c>
      <c r="L168" s="6" t="inlineStr"/>
      <c r="M168" s="7">
        <f>IF(L168&gt;0,(K168-L168)/K168*100,"")</f>
        <v/>
      </c>
    </row>
    <row r="169">
      <c r="A169" t="n">
        <v>168</v>
      </c>
      <c r="B169" t="inlineStr">
        <is>
          <t>269841</t>
        </is>
      </c>
      <c r="C169" t="inlineStr">
        <is>
          <t>CUAD BOND 80H CUADR SOL SURCO(10CX50)</t>
        </is>
      </c>
      <c r="D169" t="inlineStr">
        <is>
          <t>Librería y Oficina</t>
        </is>
      </c>
      <c r="E169" t="inlineStr">
        <is>
          <t>Útiles Escolares</t>
        </is>
      </c>
      <c r="F169" t="inlineStr">
        <is>
          <t>Cuadernos y Blocks</t>
        </is>
      </c>
      <c r="G169" s="8" t="n">
        <v>711.33</v>
      </c>
      <c r="H169" s="9" t="n">
        <v>375</v>
      </c>
      <c r="I169" t="n">
        <v>273</v>
      </c>
      <c r="J169" s="10" t="n">
        <v>46112</v>
      </c>
      <c r="K169" s="8" t="n">
        <v>1.9</v>
      </c>
      <c r="L169" s="6" t="inlineStr"/>
      <c r="M169" s="7">
        <f>IF(L169&gt;0,(K169-L169)/K169*100,"")</f>
        <v/>
      </c>
    </row>
    <row r="170">
      <c r="A170" s="2" t="n">
        <v>169</v>
      </c>
      <c r="B170" s="2" t="inlineStr">
        <is>
          <t>AR07001053</t>
        </is>
      </c>
      <c r="C170" s="2" t="inlineStr">
        <is>
          <t>PLUMON ARTESCO SUPERPUNTA X 12 (CAJONX144)</t>
        </is>
      </c>
      <c r="D170" s="2" t="inlineStr">
        <is>
          <t>Librería y Oficina</t>
        </is>
      </c>
      <c r="E170" s="2" t="inlineStr">
        <is>
          <t>Útiles Escolares</t>
        </is>
      </c>
      <c r="F170" s="2" t="inlineStr">
        <is>
          <t>Plumones y Marcadores</t>
        </is>
      </c>
      <c r="G170" s="3" t="n">
        <v>710.64</v>
      </c>
      <c r="H170" s="4" t="n">
        <v>99</v>
      </c>
      <c r="I170" s="2" t="n">
        <v>91</v>
      </c>
      <c r="J170" s="5" t="n">
        <v>46108</v>
      </c>
      <c r="K170" s="3" t="n">
        <v>7.19</v>
      </c>
      <c r="L170" s="6" t="inlineStr"/>
      <c r="M170" s="7">
        <f>IF(L170&gt;0,(K170-L170)/K170*100,"")</f>
        <v/>
      </c>
    </row>
    <row r="171">
      <c r="A171" t="n">
        <v>170</v>
      </c>
      <c r="B171" t="inlineStr">
        <is>
          <t>2000080577</t>
        </is>
      </c>
      <c r="C171" t="inlineStr">
        <is>
          <t>PLUMONES LAYCONSA SUPER SOFT X 12</t>
        </is>
      </c>
      <c r="D171" t="inlineStr">
        <is>
          <t>Librería y Oficina</t>
        </is>
      </c>
      <c r="E171" t="inlineStr">
        <is>
          <t>Útiles Escolares</t>
        </is>
      </c>
      <c r="F171" t="inlineStr">
        <is>
          <t>Plumones y Marcadores</t>
        </is>
      </c>
      <c r="G171" s="8" t="n">
        <v>706.86</v>
      </c>
      <c r="H171" s="9" t="n">
        <v>60</v>
      </c>
      <c r="I171" t="n">
        <v>55</v>
      </c>
      <c r="J171" s="10" t="n">
        <v>46133</v>
      </c>
      <c r="K171" s="8" t="n">
        <v>11.82</v>
      </c>
      <c r="L171" s="6" t="inlineStr"/>
      <c r="M171" s="7">
        <f>IF(L171&gt;0,(K171-L171)/K171*100,"")</f>
        <v/>
      </c>
    </row>
    <row r="172">
      <c r="A172" s="2" t="n">
        <v>171</v>
      </c>
      <c r="B172" s="2" t="inlineStr">
        <is>
          <t>37241</t>
        </is>
      </c>
      <c r="C172" s="2" t="inlineStr">
        <is>
          <t>BOLIG YIMI ESCARCHADO X 12 COLORES</t>
        </is>
      </c>
      <c r="D172" s="2" t="inlineStr">
        <is>
          <t>Librería y Oficina</t>
        </is>
      </c>
      <c r="E172" s="2" t="inlineStr">
        <is>
          <t>Útiles Escolares</t>
        </is>
      </c>
      <c r="F172" s="2" t="inlineStr">
        <is>
          <t>Colores y Crayolas</t>
        </is>
      </c>
      <c r="G172" s="3" t="n">
        <v>700.41</v>
      </c>
      <c r="H172" s="4" t="n">
        <v>143</v>
      </c>
      <c r="I172" s="2" t="n">
        <v>118</v>
      </c>
      <c r="J172" s="5" t="n">
        <v>46171</v>
      </c>
      <c r="K172" s="3" t="n">
        <v>4.89</v>
      </c>
      <c r="L172" s="6" t="inlineStr"/>
      <c r="M172" s="7">
        <f>IF(L172&gt;0,(K172-L172)/K172*100,"")</f>
        <v/>
      </c>
    </row>
    <row r="173">
      <c r="A173" t="n">
        <v>172</v>
      </c>
      <c r="B173" t="inlineStr">
        <is>
          <t>75961067258545</t>
        </is>
      </c>
      <c r="C173" t="inlineStr">
        <is>
          <t>Biscocho Costa Chocman Mini 20x21Gr</t>
        </is>
      </c>
      <c r="D173" t="inlineStr">
        <is>
          <t>Abarrotes</t>
        </is>
      </c>
      <c r="E173" t="inlineStr">
        <is>
          <t>Panadería y Pastelería</t>
        </is>
      </c>
      <c r="F173" t="inlineStr">
        <is>
          <t>Bizcochos y Panetelas</t>
        </is>
      </c>
      <c r="G173" s="8" t="n">
        <v>697.6</v>
      </c>
      <c r="H173" s="9" t="n">
        <v>64</v>
      </c>
      <c r="I173" t="n">
        <v>63</v>
      </c>
      <c r="J173" s="10" t="n">
        <v>46148</v>
      </c>
      <c r="K173" s="8" t="n">
        <v>10.9</v>
      </c>
      <c r="L173" s="6" t="inlineStr"/>
      <c r="M173" s="7">
        <f>IF(L173&gt;0,(K173-L173)/K173*100,"")</f>
        <v/>
      </c>
    </row>
    <row r="174">
      <c r="A174" s="2" t="n">
        <v>173</v>
      </c>
      <c r="B174" s="2" t="inlineStr">
        <is>
          <t>R4-002</t>
        </is>
      </c>
      <c r="C174" s="2" t="inlineStr">
        <is>
          <t>SILICONA 100ML NAYRA</t>
        </is>
      </c>
      <c r="D174" s="2" t="inlineStr">
        <is>
          <t>Librería y Oficina</t>
        </is>
      </c>
      <c r="E174" s="2" t="inlineStr">
        <is>
          <t>Útiles Escolares</t>
        </is>
      </c>
      <c r="F174" s="2" t="inlineStr">
        <is>
          <t>Pegamentos y Silicona</t>
        </is>
      </c>
      <c r="G174" s="3" t="n">
        <v>689.64</v>
      </c>
      <c r="H174" s="4" t="n">
        <v>283</v>
      </c>
      <c r="I174" s="2" t="n">
        <v>149</v>
      </c>
      <c r="J174" s="5" t="n">
        <v>46109</v>
      </c>
      <c r="K174" s="3" t="n">
        <v>2.47</v>
      </c>
      <c r="L174" s="6" t="inlineStr"/>
      <c r="M174" s="7">
        <f>IF(L174&gt;0,(K174-L174)/K174*100,"")</f>
        <v/>
      </c>
    </row>
    <row r="175">
      <c r="A175" t="n">
        <v>174</v>
      </c>
      <c r="B175" t="inlineStr">
        <is>
          <t>AGD-05</t>
        </is>
      </c>
      <c r="C175" t="inlineStr">
        <is>
          <t>Delineador Miau Jarusa</t>
        </is>
      </c>
      <c r="D175" t="inlineStr">
        <is>
          <t>Belleza</t>
        </is>
      </c>
      <c r="E175" t="inlineStr">
        <is>
          <t>Maquillaje y Cosméticos</t>
        </is>
      </c>
      <c r="F175" t="inlineStr">
        <is>
          <t>Delineadores</t>
        </is>
      </c>
      <c r="G175" s="8" t="n">
        <v>689</v>
      </c>
      <c r="H175" s="9" t="n">
        <v>106</v>
      </c>
      <c r="I175" t="n">
        <v>104</v>
      </c>
      <c r="J175" s="10" t="n">
        <v>46177</v>
      </c>
      <c r="K175" s="8" t="n">
        <v>6.5</v>
      </c>
      <c r="L175" s="6" t="inlineStr"/>
      <c r="M175" s="7">
        <f>IF(L175&gt;0,(K175-L175)/K175*100,"")</f>
        <v/>
      </c>
    </row>
    <row r="176">
      <c r="A176" s="2" t="n">
        <v>175</v>
      </c>
      <c r="B176" s="2" t="inlineStr">
        <is>
          <t>MER-1572</t>
        </is>
      </c>
      <c r="C176" s="2" t="inlineStr">
        <is>
          <t>CORRECTOR AZUL X1</t>
        </is>
      </c>
      <c r="D176" s="2" t="inlineStr">
        <is>
          <t>Librería y Oficina</t>
        </is>
      </c>
      <c r="E176" s="2" t="inlineStr">
        <is>
          <t>Útiles Escolares</t>
        </is>
      </c>
      <c r="F176" s="2" t="inlineStr">
        <is>
          <t>Correctores</t>
        </is>
      </c>
      <c r="G176" s="3" t="n">
        <v>687.4</v>
      </c>
      <c r="H176" s="4" t="n">
        <v>715</v>
      </c>
      <c r="I176" s="2" t="n">
        <v>318</v>
      </c>
      <c r="J176" s="5" t="n">
        <v>46145</v>
      </c>
      <c r="K176" s="3" t="n">
        <v>0.98</v>
      </c>
      <c r="L176" s="6" t="inlineStr"/>
      <c r="M176" s="7">
        <f>IF(L176&gt;0,(K176-L176)/K176*100,"")</f>
        <v/>
      </c>
    </row>
    <row r="177">
      <c r="A177" t="n">
        <v>176</v>
      </c>
      <c r="B177" t="inlineStr">
        <is>
          <t>76082659063348</t>
        </is>
      </c>
      <c r="C177" t="inlineStr">
        <is>
          <t>Biscocho Costa chocman Doble Manjar EXTRA 6x55Gr</t>
        </is>
      </c>
      <c r="D177" t="inlineStr">
        <is>
          <t>Abarrotes</t>
        </is>
      </c>
      <c r="E177" t="inlineStr">
        <is>
          <t>Panadería y Pastelería</t>
        </is>
      </c>
      <c r="F177" t="inlineStr">
        <is>
          <t>Bizcochos y Panetelas</t>
        </is>
      </c>
      <c r="G177" s="8" t="n">
        <v>687.3</v>
      </c>
      <c r="H177" s="9" t="n">
        <v>87</v>
      </c>
      <c r="I177" t="n">
        <v>82</v>
      </c>
      <c r="J177" s="10" t="n">
        <v>46156</v>
      </c>
      <c r="K177" s="8" t="n">
        <v>7.9</v>
      </c>
      <c r="L177" s="6" t="inlineStr"/>
      <c r="M177" s="7">
        <f>IF(L177&gt;0,(K177-L177)/K177*100,"")</f>
        <v/>
      </c>
    </row>
    <row r="178">
      <c r="A178" s="2" t="n">
        <v>177</v>
      </c>
      <c r="B178" s="2" t="inlineStr">
        <is>
          <t>C511869</t>
        </is>
      </c>
      <c r="C178" s="2" t="inlineStr">
        <is>
          <t>PLANCHA CABELLO X 50 PZS</t>
        </is>
      </c>
      <c r="D178" s="2" t="inlineStr">
        <is>
          <t>Electrohogar</t>
        </is>
      </c>
      <c r="E178" s="2" t="inlineStr">
        <is>
          <t>Cuidado Personal</t>
        </is>
      </c>
      <c r="F178" s="2" t="inlineStr">
        <is>
          <t>Planchas y Rizadoras</t>
        </is>
      </c>
      <c r="G178" s="3" t="n">
        <v>687</v>
      </c>
      <c r="H178" s="4" t="n">
        <v>30</v>
      </c>
      <c r="I178" s="2" t="n">
        <v>28</v>
      </c>
      <c r="J178" s="5" t="n">
        <v>46148</v>
      </c>
      <c r="K178" s="3" t="n">
        <v>22.9</v>
      </c>
      <c r="L178" s="6" t="inlineStr"/>
      <c r="M178" s="7">
        <f>IF(L178&gt;0,(K178-L178)/K178*100,"")</f>
        <v/>
      </c>
    </row>
    <row r="179">
      <c r="A179" t="n">
        <v>178</v>
      </c>
      <c r="B179" t="inlineStr">
        <is>
          <t>H804</t>
        </is>
      </c>
      <c r="C179" t="inlineStr">
        <is>
          <t>SET DE TERMO</t>
        </is>
      </c>
      <c r="D179" t="inlineStr">
        <is>
          <t>Hogar y Decoración</t>
        </is>
      </c>
      <c r="E179" t="inlineStr">
        <is>
          <t>Menaje de Cocina</t>
        </is>
      </c>
      <c r="F179" t="inlineStr">
        <is>
          <t>Termos</t>
        </is>
      </c>
      <c r="G179" s="8" t="n">
        <v>681.5</v>
      </c>
      <c r="H179" s="9" t="n">
        <v>47</v>
      </c>
      <c r="I179" t="n">
        <v>35</v>
      </c>
      <c r="J179" s="10" t="n">
        <v>46111</v>
      </c>
      <c r="K179" s="8" t="n">
        <v>14.5</v>
      </c>
      <c r="L179" s="6" t="inlineStr"/>
      <c r="M179" s="7">
        <f>IF(L179&gt;0,(K179-L179)/K179*100,"")</f>
        <v/>
      </c>
    </row>
    <row r="180">
      <c r="A180" s="2" t="n">
        <v>179</v>
      </c>
      <c r="B180" s="2" t="inlineStr">
        <is>
          <t>5250</t>
        </is>
      </c>
      <c r="C180" s="2" t="inlineStr">
        <is>
          <t>CEPILLO ALISADOR ONE STEP</t>
        </is>
      </c>
      <c r="D180" s="2" t="inlineStr">
        <is>
          <t>Electrohogar</t>
        </is>
      </c>
      <c r="E180" s="2" t="inlineStr">
        <is>
          <t>Cuidado Personal</t>
        </is>
      </c>
      <c r="F180" s="2" t="inlineStr">
        <is>
          <t>Planchas y Rizadoras</t>
        </is>
      </c>
      <c r="G180" s="3" t="n">
        <v>676.6</v>
      </c>
      <c r="H180" s="4" t="n">
        <v>34</v>
      </c>
      <c r="I180" s="2" t="n">
        <v>34</v>
      </c>
      <c r="J180" s="5" t="n">
        <v>46105</v>
      </c>
      <c r="K180" s="3" t="n">
        <v>19.9</v>
      </c>
      <c r="L180" s="6" t="inlineStr"/>
      <c r="M180" s="7">
        <f>IF(L180&gt;0,(K180-L180)/K180*100,"")</f>
        <v/>
      </c>
    </row>
    <row r="181">
      <c r="A181" t="n">
        <v>180</v>
      </c>
      <c r="B181" t="inlineStr">
        <is>
          <t>EP-2526</t>
        </is>
      </c>
      <c r="C181" t="inlineStr">
        <is>
          <t>PORTACEPILLOS</t>
        </is>
      </c>
      <c r="D181" t="inlineStr">
        <is>
          <t>Hogar y Decoración</t>
        </is>
      </c>
      <c r="E181" t="inlineStr">
        <is>
          <t>Accesorios para Baño</t>
        </is>
      </c>
      <c r="F181" t="inlineStr">
        <is>
          <t>Accesorios de Baño</t>
        </is>
      </c>
      <c r="G181" s="8" t="n">
        <v>675.86</v>
      </c>
      <c r="H181" s="9" t="n">
        <v>144</v>
      </c>
      <c r="I181" t="n">
        <v>140</v>
      </c>
      <c r="J181" s="10" t="n">
        <v>46172</v>
      </c>
      <c r="K181" s="8" t="n">
        <v>4.7</v>
      </c>
      <c r="L181" s="6" t="inlineStr"/>
      <c r="M181" s="7">
        <f>IF(L181&gt;0,(K181-L181)/K181*100,"")</f>
        <v/>
      </c>
    </row>
    <row r="182">
      <c r="A182" s="2" t="n">
        <v>181</v>
      </c>
      <c r="B182" s="2" t="inlineStr">
        <is>
          <t>2110110002</t>
        </is>
      </c>
      <c r="C182" s="2" t="inlineStr">
        <is>
          <t>COLA ESCOLAR LAYCONSA DE 250GR CON DISPENSADOR</t>
        </is>
      </c>
      <c r="D182" s="2" t="inlineStr">
        <is>
          <t>Librería y Oficina</t>
        </is>
      </c>
      <c r="E182" s="2" t="inlineStr">
        <is>
          <t>Útiles Escolares</t>
        </is>
      </c>
      <c r="F182" s="2" t="inlineStr">
        <is>
          <t>Pegamentos y Silicona</t>
        </is>
      </c>
      <c r="G182" s="3" t="n">
        <v>673.3</v>
      </c>
      <c r="H182" s="4" t="n">
        <v>237</v>
      </c>
      <c r="I182" s="2" t="n">
        <v>171</v>
      </c>
      <c r="J182" s="5" t="n">
        <v>46103</v>
      </c>
      <c r="K182" s="3" t="n">
        <v>2.88</v>
      </c>
      <c r="L182" s="6" t="inlineStr"/>
      <c r="M182" s="7">
        <f>IF(L182&gt;0,(K182-L182)/K182*100,"")</f>
        <v/>
      </c>
    </row>
    <row r="183">
      <c r="A183" t="n">
        <v>182</v>
      </c>
      <c r="B183" t="inlineStr">
        <is>
          <t>75875160869783</t>
        </is>
      </c>
      <c r="C183" t="inlineStr">
        <is>
          <t>Insecticida Bay-Cin Espiral Anti Zancudo x10</t>
        </is>
      </c>
      <c r="D183" t="inlineStr">
        <is>
          <t>Limpieza</t>
        </is>
      </c>
      <c r="E183" t="inlineStr">
        <is>
          <t>Limpiadores Específicos</t>
        </is>
      </c>
      <c r="F183" t="inlineStr">
        <is>
          <t>Insecticidas</t>
        </is>
      </c>
      <c r="G183" s="8" t="n">
        <v>670</v>
      </c>
      <c r="H183" s="9" t="n">
        <v>268</v>
      </c>
      <c r="I183" t="n">
        <v>165</v>
      </c>
      <c r="J183" s="10" t="n">
        <v>46178</v>
      </c>
      <c r="K183" s="8" t="n">
        <v>2.5</v>
      </c>
      <c r="L183" s="6" t="inlineStr"/>
      <c r="M183" s="7">
        <f>IF(L183&gt;0,(K183-L183)/K183*100,"")</f>
        <v/>
      </c>
    </row>
    <row r="184">
      <c r="A184" s="2" t="n">
        <v>183</v>
      </c>
      <c r="B184" s="2" t="inlineStr">
        <is>
          <t>MER-1508</t>
        </is>
      </c>
      <c r="C184" s="2" t="inlineStr">
        <is>
          <t>ENGRANPADOR MERCYFAND</t>
        </is>
      </c>
      <c r="D184" s="2" t="inlineStr">
        <is>
          <t>Librería y Oficina</t>
        </is>
      </c>
      <c r="E184" s="2" t="inlineStr">
        <is>
          <t>Útiles Escolares</t>
        </is>
      </c>
      <c r="F184" s="2" t="inlineStr">
        <is>
          <t>Engrapadoras y Perforadoras</t>
        </is>
      </c>
      <c r="G184" s="3" t="n">
        <v>669.13</v>
      </c>
      <c r="H184" s="4" t="n">
        <v>140</v>
      </c>
      <c r="I184" s="2" t="n">
        <v>130</v>
      </c>
      <c r="J184" s="5" t="n">
        <v>46162</v>
      </c>
      <c r="K184" s="3" t="n">
        <v>4.79</v>
      </c>
      <c r="L184" s="6" t="inlineStr"/>
      <c r="M184" s="7">
        <f>IF(L184&gt;0,(K184-L184)/K184*100,"")</f>
        <v/>
      </c>
    </row>
    <row r="185">
      <c r="A185" t="n">
        <v>184</v>
      </c>
      <c r="B185" t="inlineStr">
        <is>
          <t>MER34-12</t>
        </is>
      </c>
      <c r="C185" t="inlineStr">
        <is>
          <t>PLUMON PAPEL PUNTAS X4</t>
        </is>
      </c>
      <c r="D185" t="inlineStr">
        <is>
          <t>Librería y Oficina</t>
        </is>
      </c>
      <c r="E185" t="inlineStr">
        <is>
          <t>Útiles Escolares</t>
        </is>
      </c>
      <c r="F185" t="inlineStr">
        <is>
          <t>Plumones y Marcadores</t>
        </is>
      </c>
      <c r="G185" s="8" t="n">
        <v>665.95</v>
      </c>
      <c r="H185" s="9" t="n">
        <v>194</v>
      </c>
      <c r="I185" t="n">
        <v>161</v>
      </c>
      <c r="J185" s="10" t="n">
        <v>46101</v>
      </c>
      <c r="K185" s="8" t="n">
        <v>3.48</v>
      </c>
      <c r="L185" s="6" t="inlineStr"/>
      <c r="M185" s="7">
        <f>IF(L185&gt;0,(K185-L185)/K185*100,"")</f>
        <v/>
      </c>
    </row>
    <row r="186">
      <c r="A186" s="2" t="n">
        <v>185</v>
      </c>
      <c r="B186" s="2" t="inlineStr">
        <is>
          <t>MS-3789</t>
        </is>
      </c>
      <c r="C186" s="2" t="inlineStr">
        <is>
          <t>Espejo con orejas de Mariposa</t>
        </is>
      </c>
      <c r="D186" s="2" t="inlineStr">
        <is>
          <t>Belleza</t>
        </is>
      </c>
      <c r="E186" s="2" t="inlineStr">
        <is>
          <t>Accesorios de Belleza</t>
        </is>
      </c>
      <c r="F186" s="2" t="inlineStr">
        <is>
          <t>Espejos</t>
        </is>
      </c>
      <c r="G186" s="3" t="n">
        <v>664.04</v>
      </c>
      <c r="H186" s="4" t="n">
        <v>129</v>
      </c>
      <c r="I186" s="2" t="n">
        <v>102</v>
      </c>
      <c r="J186" s="5" t="n">
        <v>46151</v>
      </c>
      <c r="K186" s="3" t="n">
        <v>5.2</v>
      </c>
      <c r="L186" s="6" t="inlineStr"/>
      <c r="M186" s="7">
        <f>IF(L186&gt;0,(K186-L186)/K186*100,"")</f>
        <v/>
      </c>
    </row>
    <row r="187">
      <c r="A187" t="n">
        <v>186</v>
      </c>
      <c r="B187" t="inlineStr">
        <is>
          <t>CP-A4</t>
        </is>
      </c>
      <c r="C187" t="inlineStr">
        <is>
          <t>Cartulina Pastel A4 x100hojad</t>
        </is>
      </c>
      <c r="D187" t="inlineStr">
        <is>
          <t>Librería y Oficina</t>
        </is>
      </c>
      <c r="E187" t="inlineStr">
        <is>
          <t>Útiles Escolares</t>
        </is>
      </c>
      <c r="F187" t="inlineStr">
        <is>
          <t>Papeles y Cartulinas</t>
        </is>
      </c>
      <c r="G187" s="8" t="n">
        <v>662</v>
      </c>
      <c r="H187" s="9" t="n">
        <v>41</v>
      </c>
      <c r="I187" t="n">
        <v>41</v>
      </c>
      <c r="J187" s="10" t="n">
        <v>46114</v>
      </c>
      <c r="K187" s="8" t="n">
        <v>16.15</v>
      </c>
      <c r="L187" s="6" t="inlineStr"/>
      <c r="M187" s="7">
        <f>IF(L187&gt;0,(K187-L187)/K187*100,"")</f>
        <v/>
      </c>
    </row>
    <row r="188">
      <c r="A188" s="2" t="n">
        <v>187</v>
      </c>
      <c r="B188" s="2" t="inlineStr">
        <is>
          <t>PL-MERCX1</t>
        </is>
      </c>
      <c r="C188" s="2" t="inlineStr">
        <is>
          <t>PLUMON X1 MERCYFAND PIZARRA O PAPEL</t>
        </is>
      </c>
      <c r="D188" s="2" t="inlineStr">
        <is>
          <t>Librería y Oficina</t>
        </is>
      </c>
      <c r="E188" s="2" t="inlineStr">
        <is>
          <t>Útiles Escolares</t>
        </is>
      </c>
      <c r="F188" s="2" t="inlineStr">
        <is>
          <t>Plumones y Marcadores</t>
        </is>
      </c>
      <c r="G188" s="3" t="n">
        <v>655.75</v>
      </c>
      <c r="H188" s="4" t="n">
        <v>657</v>
      </c>
      <c r="I188" s="2" t="n">
        <v>213</v>
      </c>
      <c r="J188" s="5" t="n">
        <v>46126</v>
      </c>
      <c r="K188" s="3" t="n">
        <v>1</v>
      </c>
      <c r="L188" s="6" t="inlineStr"/>
      <c r="M188" s="7">
        <f>IF(L188&gt;0,(K188-L188)/K188*100,"")</f>
        <v/>
      </c>
    </row>
    <row r="189">
      <c r="A189" t="n">
        <v>188</v>
      </c>
      <c r="B189" t="inlineStr">
        <is>
          <t>7001051</t>
        </is>
      </c>
      <c r="C189" t="inlineStr">
        <is>
          <t>PLUMON ARTESCO MAX 45 X 12 (CAJONX72EST)</t>
        </is>
      </c>
      <c r="D189" t="inlineStr">
        <is>
          <t>Librería y Oficina</t>
        </is>
      </c>
      <c r="E189" t="inlineStr">
        <is>
          <t>Útiles Escolares</t>
        </is>
      </c>
      <c r="F189" t="inlineStr">
        <is>
          <t>Plumones y Marcadores</t>
        </is>
      </c>
      <c r="G189" s="8" t="n">
        <v>652.24</v>
      </c>
      <c r="H189" s="9" t="n">
        <v>107</v>
      </c>
      <c r="I189" t="n">
        <v>82</v>
      </c>
      <c r="J189" s="10" t="n">
        <v>46135</v>
      </c>
      <c r="K189" s="8" t="n">
        <v>6.15</v>
      </c>
      <c r="L189" s="6" t="inlineStr"/>
      <c r="M189" s="7">
        <f>IF(L189&gt;0,(K189-L189)/K189*100,"")</f>
        <v/>
      </c>
    </row>
    <row r="190">
      <c r="A190" s="2" t="n">
        <v>189</v>
      </c>
      <c r="B190" s="2" t="inlineStr">
        <is>
          <t>MS-3320</t>
        </is>
      </c>
      <c r="C190" s="2" t="inlineStr">
        <is>
          <t>TomaTodo 1350ml</t>
        </is>
      </c>
      <c r="D190" s="2" t="inlineStr">
        <is>
          <t>Hogar y Decoración</t>
        </is>
      </c>
      <c r="E190" s="2" t="inlineStr">
        <is>
          <t>Menaje de Cocina</t>
        </is>
      </c>
      <c r="F190" s="2" t="inlineStr">
        <is>
          <t>Tomatodos y Botellas</t>
        </is>
      </c>
      <c r="G190" s="3" t="n">
        <v>650.9299999999999</v>
      </c>
      <c r="H190" s="4" t="n">
        <v>55</v>
      </c>
      <c r="I190" s="2" t="n">
        <v>47</v>
      </c>
      <c r="J190" s="5" t="n">
        <v>46099</v>
      </c>
      <c r="K190" s="3" t="n">
        <v>11.87</v>
      </c>
      <c r="L190" s="6" t="inlineStr"/>
      <c r="M190" s="7">
        <f>IF(L190&gt;0,(K190-L190)/K190*100,"")</f>
        <v/>
      </c>
    </row>
    <row r="191">
      <c r="A191" t="n">
        <v>190</v>
      </c>
      <c r="B191" t="inlineStr">
        <is>
          <t>RR0444</t>
        </is>
      </c>
      <c r="C191" t="inlineStr">
        <is>
          <t>MICROPOROSO 50X70CM</t>
        </is>
      </c>
      <c r="D191" t="inlineStr">
        <is>
          <t>Librería y Oficina</t>
        </is>
      </c>
      <c r="E191" t="inlineStr">
        <is>
          <t>Útiles Escolares</t>
        </is>
      </c>
      <c r="F191" t="inlineStr">
        <is>
          <t>Micropororsos y Goma Eva</t>
        </is>
      </c>
      <c r="G191" s="8" t="n">
        <v>647.5</v>
      </c>
      <c r="H191" s="9" t="n">
        <v>188</v>
      </c>
      <c r="I191" t="n">
        <v>104</v>
      </c>
      <c r="J191" s="10" t="n">
        <v>46110</v>
      </c>
      <c r="K191" s="8" t="n">
        <v>3.49</v>
      </c>
      <c r="L191" s="6" t="inlineStr"/>
      <c r="M191" s="7">
        <f>IF(L191&gt;0,(K191-L191)/K191*100,"")</f>
        <v/>
      </c>
    </row>
    <row r="192">
      <c r="A192" s="2" t="n">
        <v>191</v>
      </c>
      <c r="B192" s="2" t="inlineStr">
        <is>
          <t>DOU-922</t>
        </is>
      </c>
      <c r="C192" s="2" t="inlineStr">
        <is>
          <t>HERVIDORA 12PCS</t>
        </is>
      </c>
      <c r="D192" s="2" t="inlineStr">
        <is>
          <t>Electrohogar</t>
        </is>
      </c>
      <c r="E192" s="2" t="inlineStr">
        <is>
          <t>Electrodomésticos de Cocina</t>
        </is>
      </c>
      <c r="F192" s="2" t="inlineStr">
        <is>
          <t>Hervidores</t>
        </is>
      </c>
      <c r="G192" s="3" t="n">
        <v>645.6</v>
      </c>
      <c r="H192" s="4" t="n">
        <v>24</v>
      </c>
      <c r="I192" s="2" t="n">
        <v>24</v>
      </c>
      <c r="J192" s="5" t="n">
        <v>46165</v>
      </c>
      <c r="K192" s="3" t="n">
        <v>26.9</v>
      </c>
      <c r="L192" s="6" t="inlineStr"/>
      <c r="M192" s="7">
        <f>IF(L192&gt;0,(K192-L192)/K192*100,"")</f>
        <v/>
      </c>
    </row>
    <row r="193">
      <c r="A193" t="n">
        <v>192</v>
      </c>
      <c r="B193" t="inlineStr">
        <is>
          <t>CC-527</t>
        </is>
      </c>
      <c r="C193" t="inlineStr">
        <is>
          <t>Taper cucharra</t>
        </is>
      </c>
      <c r="D193" t="inlineStr">
        <is>
          <t>Hogar y Decoración</t>
        </is>
      </c>
      <c r="E193" t="inlineStr">
        <is>
          <t>Menaje de Cocina</t>
        </is>
      </c>
      <c r="F193" t="inlineStr">
        <is>
          <t>Tapers y Contenedores</t>
        </is>
      </c>
      <c r="G193" s="8" t="n">
        <v>644.01</v>
      </c>
      <c r="H193" s="9" t="n">
        <v>82</v>
      </c>
      <c r="I193" t="n">
        <v>66</v>
      </c>
      <c r="J193" s="10" t="n">
        <v>46167</v>
      </c>
      <c r="K193" s="8" t="n">
        <v>7.89</v>
      </c>
      <c r="L193" s="6" t="inlineStr"/>
      <c r="M193" s="7">
        <f>IF(L193&gt;0,(K193-L193)/K193*100,"")</f>
        <v/>
      </c>
    </row>
    <row r="194">
      <c r="A194" s="2" t="n">
        <v>193</v>
      </c>
      <c r="B194" s="2" t="inlineStr">
        <is>
          <t>232407</t>
        </is>
      </c>
      <c r="C194" s="2" t="inlineStr">
        <is>
          <t>MADISON ANTI-AGE + Q10 CREMA FACIAL 50ML</t>
        </is>
      </c>
      <c r="D194" s="2" t="inlineStr">
        <is>
          <t>Belleza</t>
        </is>
      </c>
      <c r="E194" s="2" t="inlineStr">
        <is>
          <t>Cuidado Facial</t>
        </is>
      </c>
      <c r="F194" s="2" t="inlineStr">
        <is>
          <t>Crema Facial</t>
        </is>
      </c>
      <c r="G194" s="3" t="n">
        <v>642.6</v>
      </c>
      <c r="H194" s="4" t="n">
        <v>65</v>
      </c>
      <c r="I194" s="2" t="n">
        <v>64</v>
      </c>
      <c r="J194" s="5" t="n">
        <v>46174</v>
      </c>
      <c r="K194" s="3" t="n">
        <v>9.890000000000001</v>
      </c>
      <c r="L194" s="6" t="inlineStr"/>
      <c r="M194" s="7">
        <f>IF(L194&gt;0,(K194-L194)/K194*100,"")</f>
        <v/>
      </c>
    </row>
    <row r="195">
      <c r="A195" t="n">
        <v>194</v>
      </c>
      <c r="B195" t="inlineStr">
        <is>
          <t>2110020322</t>
        </is>
      </c>
      <c r="C195" t="inlineStr">
        <is>
          <t>MARCADOR LAYCONSA JUMBO L-47 X 12 COLORES NT ESTUCHE</t>
        </is>
      </c>
      <c r="D195" t="inlineStr">
        <is>
          <t>Librería y Oficina</t>
        </is>
      </c>
      <c r="E195" t="inlineStr">
        <is>
          <t>Útiles Escolares</t>
        </is>
      </c>
      <c r="F195" t="inlineStr">
        <is>
          <t>Plumones y Marcadores</t>
        </is>
      </c>
      <c r="G195" s="8" t="n">
        <v>641.25</v>
      </c>
      <c r="H195" s="9" t="n">
        <v>48</v>
      </c>
      <c r="I195" t="n">
        <v>45</v>
      </c>
      <c r="J195" s="10" t="n">
        <v>46103</v>
      </c>
      <c r="K195" s="8" t="n">
        <v>13.44</v>
      </c>
      <c r="L195" s="6" t="inlineStr"/>
      <c r="M195" s="7">
        <f>IF(L195&gt;0,(K195-L195)/K195*100,"")</f>
        <v/>
      </c>
    </row>
    <row r="196">
      <c r="A196" s="2" t="n">
        <v>195</v>
      </c>
      <c r="B196" s="2" t="inlineStr">
        <is>
          <t>BW60448</t>
        </is>
      </c>
      <c r="C196" s="2" t="inlineStr">
        <is>
          <t>BYWIN TOALLITAS HUMEDAS X 100 UND MR. POTATO HEAD</t>
        </is>
      </c>
      <c r="D196" s="2" t="inlineStr">
        <is>
          <t>Cuidado Personal y Salud</t>
        </is>
      </c>
      <c r="E196" s="2" t="inlineStr">
        <is>
          <t>Toallitas Húmedas</t>
        </is>
      </c>
      <c r="F196" s="2" t="inlineStr">
        <is>
          <t>Toallitas Húmedas con Licencia</t>
        </is>
      </c>
      <c r="G196" s="3" t="n">
        <v>640.8</v>
      </c>
      <c r="H196" s="4" t="n">
        <v>178</v>
      </c>
      <c r="I196" s="2" t="n">
        <v>160</v>
      </c>
      <c r="J196" s="5" t="n">
        <v>46178</v>
      </c>
      <c r="K196" s="3" t="n">
        <v>3.6</v>
      </c>
      <c r="L196" s="6" t="inlineStr"/>
      <c r="M196" s="7">
        <f>IF(L196&gt;0,(K196-L196)/K196*100,"")</f>
        <v/>
      </c>
    </row>
    <row r="197">
      <c r="A197" t="n">
        <v>196</v>
      </c>
      <c r="B197" t="inlineStr">
        <is>
          <t>SY460</t>
        </is>
      </c>
      <c r="C197" t="inlineStr">
        <is>
          <t>PAPEL DE ALUMINIO</t>
        </is>
      </c>
      <c r="D197" t="inlineStr">
        <is>
          <t>Hogar y Decoración</t>
        </is>
      </c>
      <c r="E197" t="inlineStr">
        <is>
          <t>Menaje de Cocina</t>
        </is>
      </c>
      <c r="F197" t="inlineStr">
        <is>
          <t>Descartables de Cocina</t>
        </is>
      </c>
      <c r="G197" s="8" t="n">
        <v>639.52</v>
      </c>
      <c r="H197" s="9" t="n">
        <v>200</v>
      </c>
      <c r="I197" t="n">
        <v>158</v>
      </c>
      <c r="J197" s="10" t="n">
        <v>46138</v>
      </c>
      <c r="K197" s="8" t="n">
        <v>3.2</v>
      </c>
      <c r="L197" s="6" t="inlineStr"/>
      <c r="M197" s="7">
        <f>IF(L197&gt;0,(K197-L197)/K197*100,"")</f>
        <v/>
      </c>
    </row>
    <row r="198">
      <c r="A198" s="2" t="n">
        <v>197</v>
      </c>
      <c r="B198" s="2" t="inlineStr">
        <is>
          <t>AGL-50B</t>
        </is>
      </c>
      <c r="C198" s="2" t="inlineStr">
        <is>
          <t>BALSAMO FRESITA</t>
        </is>
      </c>
      <c r="D198" s="2" t="inlineStr">
        <is>
          <t>Belleza</t>
        </is>
      </c>
      <c r="E198" s="2" t="inlineStr">
        <is>
          <t>Maquillaje y Cosméticos</t>
        </is>
      </c>
      <c r="F198" s="2" t="inlineStr">
        <is>
          <t>Labial Balsamo</t>
        </is>
      </c>
      <c r="G198" s="3" t="n">
        <v>637.5</v>
      </c>
      <c r="H198" s="4" t="n">
        <v>143</v>
      </c>
      <c r="I198" s="2" t="n">
        <v>130</v>
      </c>
      <c r="J198" s="5" t="n">
        <v>46178</v>
      </c>
      <c r="K198" s="3" t="n">
        <v>4.5</v>
      </c>
      <c r="L198" s="6" t="inlineStr"/>
      <c r="M198" s="7">
        <f>IF(L198&gt;0,(K198-L198)/K198*100,"")</f>
        <v/>
      </c>
    </row>
    <row r="199">
      <c r="A199" t="n">
        <v>198</v>
      </c>
      <c r="B199" t="inlineStr">
        <is>
          <t>75875160677141</t>
        </is>
      </c>
      <c r="C199" t="inlineStr">
        <is>
          <t>Fosforo Inti x 10</t>
        </is>
      </c>
      <c r="D199" t="inlineStr">
        <is>
          <t>Abarrotes</t>
        </is>
      </c>
      <c r="E199" t="inlineStr">
        <is>
          <t>Descartables y Utensilios</t>
        </is>
      </c>
      <c r="F199" t="inlineStr">
        <is>
          <t>Fósforos y Encendedores</t>
        </is>
      </c>
      <c r="G199" s="8" t="n">
        <v>635</v>
      </c>
      <c r="H199" s="9" t="n">
        <v>254</v>
      </c>
      <c r="I199" t="n">
        <v>246</v>
      </c>
      <c r="J199" s="10" t="n">
        <v>46148</v>
      </c>
      <c r="K199" s="8" t="n">
        <v>2.5</v>
      </c>
      <c r="L199" s="6" t="inlineStr"/>
      <c r="M199" s="7">
        <f>IF(L199&gt;0,(K199-L199)/K199*100,"")</f>
        <v/>
      </c>
    </row>
    <row r="200">
      <c r="A200" s="2" t="n">
        <v>199</v>
      </c>
      <c r="B200" s="2" t="inlineStr">
        <is>
          <t>TXD-3B</t>
        </is>
      </c>
      <c r="C200" s="2" t="inlineStr">
        <is>
          <t>Afeitadora Hombre</t>
        </is>
      </c>
      <c r="D200" s="2" t="inlineStr">
        <is>
          <t>Cuidado Personal y Salud</t>
        </is>
      </c>
      <c r="E200" s="2" t="inlineStr">
        <is>
          <t>Afeitado</t>
        </is>
      </c>
      <c r="F200" s="2" t="inlineStr">
        <is>
          <t>Máquinas de Afeitar y Repuestos</t>
        </is>
      </c>
      <c r="G200" s="3" t="n">
        <v>633.6</v>
      </c>
      <c r="H200" s="4" t="n">
        <v>192</v>
      </c>
      <c r="I200" s="2" t="n">
        <v>169</v>
      </c>
      <c r="J200" s="5" t="n">
        <v>46160</v>
      </c>
      <c r="K200" s="3" t="n">
        <v>3.3</v>
      </c>
      <c r="L200" s="6" t="inlineStr"/>
      <c r="M200" s="7">
        <f>IF(L200&gt;0,(K200-L200)/K200*100,"")</f>
        <v/>
      </c>
    </row>
    <row r="201">
      <c r="A201" t="n">
        <v>200</v>
      </c>
      <c r="B201" t="inlineStr">
        <is>
          <t>B1045</t>
        </is>
      </c>
      <c r="C201" t="inlineStr">
        <is>
          <t>LAMINA KAWAII Y COCINA</t>
        </is>
      </c>
      <c r="D201" t="inlineStr">
        <is>
          <t>Hogar y Decoración</t>
        </is>
      </c>
      <c r="E201" t="inlineStr">
        <is>
          <t>Decoración</t>
        </is>
      </c>
      <c r="F201" t="inlineStr">
        <is>
          <t>Cuadros y Pegatinas de Pared</t>
        </is>
      </c>
      <c r="G201" s="8" t="n">
        <v>632</v>
      </c>
      <c r="H201" s="9" t="n">
        <v>80</v>
      </c>
      <c r="I201" t="n">
        <v>61</v>
      </c>
      <c r="J201" s="10" t="n">
        <v>46121</v>
      </c>
      <c r="K201" s="8" t="n">
        <v>7.9</v>
      </c>
      <c r="L201" s="6" t="inlineStr"/>
      <c r="M201" s="7">
        <f>IF(L201&gt;0,(K201-L201)/K201*100,"")</f>
        <v/>
      </c>
    </row>
    <row r="202">
      <c r="A202" s="2" t="n">
        <v>201</v>
      </c>
      <c r="B202" s="2" t="inlineStr">
        <is>
          <t>TAJADOR CON TACHO</t>
        </is>
      </c>
      <c r="C202" s="2" t="inlineStr">
        <is>
          <t>TAJADOR CON TACHO</t>
        </is>
      </c>
      <c r="D202" s="2" t="inlineStr">
        <is>
          <t>Librería y Oficina</t>
        </is>
      </c>
      <c r="E202" s="2" t="inlineStr">
        <is>
          <t>Útiles Escolares</t>
        </is>
      </c>
      <c r="F202" s="2" t="inlineStr">
        <is>
          <t>Borradores y Tajadores</t>
        </is>
      </c>
      <c r="G202" s="3" t="n">
        <v>629.6</v>
      </c>
      <c r="H202" s="4" t="n">
        <v>652</v>
      </c>
      <c r="I202" s="2" t="n">
        <v>359</v>
      </c>
      <c r="J202" s="5" t="n">
        <v>46146</v>
      </c>
      <c r="K202" s="3" t="n">
        <v>0.99</v>
      </c>
      <c r="L202" s="6" t="inlineStr"/>
      <c r="M202" s="7">
        <f>IF(L202&gt;0,(K202-L202)/K202*100,"")</f>
        <v/>
      </c>
    </row>
    <row r="203">
      <c r="A203" t="n">
        <v>202</v>
      </c>
      <c r="B203" t="inlineStr">
        <is>
          <t>BW60608</t>
        </is>
      </c>
      <c r="C203" t="inlineStr">
        <is>
          <t>BYWIN TOALLITAS HUMEDAS X 100 UND LOS INCREIBLES</t>
        </is>
      </c>
      <c r="D203" t="inlineStr">
        <is>
          <t>Cuidado Personal y Salud</t>
        </is>
      </c>
      <c r="E203" t="inlineStr">
        <is>
          <t>Toallitas Húmedas</t>
        </is>
      </c>
      <c r="F203" t="inlineStr">
        <is>
          <t>Toallitas Húmedas con Licencia</t>
        </is>
      </c>
      <c r="G203" s="8" t="n">
        <v>629.2</v>
      </c>
      <c r="H203" s="9" t="n">
        <v>175</v>
      </c>
      <c r="I203" t="n">
        <v>150</v>
      </c>
      <c r="J203" s="10" t="n">
        <v>46133</v>
      </c>
      <c r="K203" s="8" t="n">
        <v>3.6</v>
      </c>
      <c r="L203" s="6" t="inlineStr"/>
      <c r="M203" s="7">
        <f>IF(L203&gt;0,(K203-L203)/K203*100,"")</f>
        <v/>
      </c>
    </row>
    <row r="204">
      <c r="A204" s="2" t="n">
        <v>203</v>
      </c>
      <c r="B204" s="2" t="inlineStr">
        <is>
          <t>MER-3668</t>
        </is>
      </c>
      <c r="C204" s="2" t="inlineStr">
        <is>
          <t>CUADERNO UNIVERSITARIO A-5</t>
        </is>
      </c>
      <c r="D204" s="2" t="inlineStr">
        <is>
          <t>Librería y Oficina</t>
        </is>
      </c>
      <c r="E204" s="2" t="inlineStr">
        <is>
          <t>Útiles Escolares</t>
        </is>
      </c>
      <c r="F204" s="2" t="inlineStr">
        <is>
          <t>Cuadernos y Blocks</t>
        </is>
      </c>
      <c r="G204" s="3" t="n">
        <v>628.14</v>
      </c>
      <c r="H204" s="4" t="n">
        <v>85</v>
      </c>
      <c r="I204" s="2" t="n">
        <v>79</v>
      </c>
      <c r="J204" s="5" t="n">
        <v>46118</v>
      </c>
      <c r="K204" s="3" t="n">
        <v>7.38</v>
      </c>
      <c r="L204" s="6" t="inlineStr"/>
      <c r="M204" s="7">
        <f>IF(L204&gt;0,(K204-L204)/K204*100,"")</f>
        <v/>
      </c>
    </row>
    <row r="205">
      <c r="A205" t="n">
        <v>204</v>
      </c>
      <c r="B205" t="inlineStr">
        <is>
          <t>75349132312592</t>
        </is>
      </c>
      <c r="C205" t="inlineStr">
        <is>
          <t>BYWIN TOALLITAS HUMEDAS X 25 UND UNIVERSITARIO CENTENARIO</t>
        </is>
      </c>
      <c r="D205" t="inlineStr">
        <is>
          <t>Cuidado Personal y Salud</t>
        </is>
      </c>
      <c r="E205" t="inlineStr">
        <is>
          <t>Toallitas Húmedas</t>
        </is>
      </c>
      <c r="F205" t="inlineStr">
        <is>
          <t>Toallitas Húmedas con Licencia</t>
        </is>
      </c>
      <c r="G205" s="8" t="n">
        <v>627.6</v>
      </c>
      <c r="H205" s="9" t="n">
        <v>523</v>
      </c>
      <c r="I205" t="n">
        <v>415</v>
      </c>
      <c r="J205" s="10" t="n">
        <v>46178</v>
      </c>
      <c r="K205" s="8" t="n">
        <v>1.2</v>
      </c>
      <c r="L205" s="6" t="inlineStr"/>
      <c r="M205" s="7">
        <f>IF(L205&gt;0,(K205-L205)/K205*100,"")</f>
        <v/>
      </c>
    </row>
    <row r="206">
      <c r="A206" s="2" t="n">
        <v>205</v>
      </c>
      <c r="B206" s="2" t="inlineStr">
        <is>
          <t>B1708</t>
        </is>
      </c>
      <c r="C206" s="2" t="inlineStr">
        <is>
          <t>TAPER + TOMATODO(64XCJA)</t>
        </is>
      </c>
      <c r="D206" s="2" t="inlineStr">
        <is>
          <t>Hogar y Decoración</t>
        </is>
      </c>
      <c r="E206" s="2" t="inlineStr">
        <is>
          <t>Menaje de Cocina</t>
        </is>
      </c>
      <c r="F206" s="2" t="inlineStr">
        <is>
          <t>Tapers y Contenedores</t>
        </is>
      </c>
      <c r="G206" s="3" t="n">
        <v>623.7</v>
      </c>
      <c r="H206" s="4" t="n">
        <v>63</v>
      </c>
      <c r="I206" s="2" t="n">
        <v>50</v>
      </c>
      <c r="J206" s="5" t="n">
        <v>46102</v>
      </c>
      <c r="K206" s="3" t="n">
        <v>9.9</v>
      </c>
      <c r="L206" s="6" t="inlineStr"/>
      <c r="M206" s="7">
        <f>IF(L206&gt;0,(K206-L206)/K206*100,"")</f>
        <v/>
      </c>
    </row>
    <row r="207">
      <c r="A207" t="n">
        <v>206</v>
      </c>
      <c r="B207" t="inlineStr">
        <is>
          <t>BW60672</t>
        </is>
      </c>
      <c r="C207" t="inlineStr">
        <is>
          <t>BYWIN TOALLITAS HUMEDAS X 100 UND UNICORNIO</t>
        </is>
      </c>
      <c r="D207" t="inlineStr">
        <is>
          <t>Cuidado Personal y Salud</t>
        </is>
      </c>
      <c r="E207" t="inlineStr">
        <is>
          <t>Toallitas Húmedas</t>
        </is>
      </c>
      <c r="F207" t="inlineStr">
        <is>
          <t>Toallitas Húmedas con Licencia</t>
        </is>
      </c>
      <c r="G207" s="8" t="n">
        <v>614.9400000000001</v>
      </c>
      <c r="H207" s="9" t="n">
        <v>171</v>
      </c>
      <c r="I207" t="n">
        <v>152</v>
      </c>
      <c r="J207" s="10" t="n">
        <v>46177</v>
      </c>
      <c r="K207" s="8" t="n">
        <v>3.6</v>
      </c>
      <c r="L207" s="6" t="inlineStr"/>
      <c r="M207" s="7">
        <f>IF(L207&gt;0,(K207-L207)/K207*100,"")</f>
        <v/>
      </c>
    </row>
    <row r="208">
      <c r="A208" s="2" t="n">
        <v>207</v>
      </c>
      <c r="B208" s="2" t="inlineStr">
        <is>
          <t>16317001</t>
        </is>
      </c>
      <c r="C208" s="2" t="inlineStr">
        <is>
          <t>LAPIZ ARTESCO CHEQUEO (CAJONX192DOC)</t>
        </is>
      </c>
      <c r="D208" s="2" t="inlineStr">
        <is>
          <t>Librería y Oficina</t>
        </is>
      </c>
      <c r="E208" s="2" t="inlineStr">
        <is>
          <t>Útiles Escolares</t>
        </is>
      </c>
      <c r="F208" s="2" t="inlineStr">
        <is>
          <t>Lápices y Lapiceros</t>
        </is>
      </c>
      <c r="G208" s="3" t="n">
        <v>614.6</v>
      </c>
      <c r="H208" s="4" t="n">
        <v>88</v>
      </c>
      <c r="I208" s="2" t="n">
        <v>88</v>
      </c>
      <c r="J208" s="5" t="n">
        <v>46120</v>
      </c>
      <c r="K208" s="3" t="n">
        <v>6.98</v>
      </c>
      <c r="L208" s="6" t="inlineStr"/>
      <c r="M208" s="7">
        <f>IF(L208&gt;0,(K208-L208)/K208*100,"")</f>
        <v/>
      </c>
    </row>
    <row r="209">
      <c r="A209" t="n">
        <v>208</v>
      </c>
      <c r="B209" t="inlineStr">
        <is>
          <t>252590</t>
        </is>
      </c>
      <c r="C209" t="inlineStr">
        <is>
          <t>PAPEL TOALLA D/H 9.5M PQTX3 SUPER</t>
        </is>
      </c>
      <c r="D209" t="inlineStr">
        <is>
          <t>Cuidado Personal y Salud</t>
        </is>
      </c>
      <c r="E209" t="inlineStr">
        <is>
          <t>Papel Higiénico y Servilletas</t>
        </is>
      </c>
      <c r="F209" t="inlineStr">
        <is>
          <t>Papel Toalla</t>
        </is>
      </c>
      <c r="G209" s="8" t="n">
        <v>613.2</v>
      </c>
      <c r="H209" s="9" t="n">
        <v>146</v>
      </c>
      <c r="I209" t="n">
        <v>118</v>
      </c>
      <c r="J209" s="10" t="n">
        <v>46109</v>
      </c>
      <c r="K209" s="8" t="n">
        <v>4.2</v>
      </c>
      <c r="L209" s="6" t="inlineStr"/>
      <c r="M209" s="7">
        <f>IF(L209&gt;0,(K209-L209)/K209*100,"")</f>
        <v/>
      </c>
    </row>
    <row r="210">
      <c r="A210" s="2" t="n">
        <v>209</v>
      </c>
      <c r="B210" s="2" t="inlineStr">
        <is>
          <t>BW60612</t>
        </is>
      </c>
      <c r="C210" s="2" t="inlineStr">
        <is>
          <t>BYWIN TOALLITAS HUMEDAS X 100 UND RED</t>
        </is>
      </c>
      <c r="D210" s="2" t="inlineStr">
        <is>
          <t>Cuidado Personal y Salud</t>
        </is>
      </c>
      <c r="E210" s="2" t="inlineStr">
        <is>
          <t>Toallitas Húmedas</t>
        </is>
      </c>
      <c r="F210" s="2" t="inlineStr">
        <is>
          <t>Toallitas Húmedas con Licencia</t>
        </is>
      </c>
      <c r="G210" s="3" t="n">
        <v>611.1</v>
      </c>
      <c r="H210" s="4" t="n">
        <v>170</v>
      </c>
      <c r="I210" s="2" t="n">
        <v>142</v>
      </c>
      <c r="J210" s="5" t="n">
        <v>46127</v>
      </c>
      <c r="K210" s="3" t="n">
        <v>3.6</v>
      </c>
      <c r="L210" s="6" t="inlineStr"/>
      <c r="M210" s="7">
        <f>IF(L210&gt;0,(K210-L210)/K210*100,"")</f>
        <v/>
      </c>
    </row>
    <row r="211">
      <c r="A211" t="n">
        <v>210</v>
      </c>
      <c r="B211" t="inlineStr">
        <is>
          <t>CF-60/01</t>
        </is>
      </c>
      <c r="C211" t="inlineStr">
        <is>
          <t>CUCHARA X 48 DOC.</t>
        </is>
      </c>
      <c r="D211" t="inlineStr">
        <is>
          <t>Hogar y Decoración</t>
        </is>
      </c>
      <c r="E211" t="inlineStr">
        <is>
          <t>Menaje de Cocina</t>
        </is>
      </c>
      <c r="F211" t="inlineStr">
        <is>
          <t>Utensilios de Cocina</t>
        </is>
      </c>
      <c r="G211" s="8" t="n">
        <v>610.6</v>
      </c>
      <c r="H211" s="9" t="n">
        <v>99</v>
      </c>
      <c r="I211" t="n">
        <v>82</v>
      </c>
      <c r="J211" s="10" t="n">
        <v>46178</v>
      </c>
      <c r="K211" s="8" t="n">
        <v>6.19</v>
      </c>
      <c r="L211" s="6" t="inlineStr"/>
      <c r="M211" s="7">
        <f>IF(L211&gt;0,(K211-L211)/K211*100,"")</f>
        <v/>
      </c>
    </row>
    <row r="212">
      <c r="A212" s="2" t="n">
        <v>211</v>
      </c>
      <c r="B212" s="2" t="inlineStr">
        <is>
          <t>BW60408</t>
        </is>
      </c>
      <c r="C212" s="2" t="inlineStr">
        <is>
          <t>BYWIN TOALLITAS HUMEDAS X 100 UND GROOT</t>
        </is>
      </c>
      <c r="D212" s="2" t="inlineStr">
        <is>
          <t>Cuidado Personal y Salud</t>
        </is>
      </c>
      <c r="E212" s="2" t="inlineStr">
        <is>
          <t>Toallitas Húmedas</t>
        </is>
      </c>
      <c r="F212" s="2" t="inlineStr">
        <is>
          <t>Toallitas Húmedas con Licencia</t>
        </is>
      </c>
      <c r="G212" s="3" t="n">
        <v>601.2</v>
      </c>
      <c r="H212" s="4" t="n">
        <v>167</v>
      </c>
      <c r="I212" s="2" t="n">
        <v>143</v>
      </c>
      <c r="J212" s="5" t="n">
        <v>46128</v>
      </c>
      <c r="K212" s="3" t="n">
        <v>3.6</v>
      </c>
      <c r="L212" s="6" t="inlineStr"/>
      <c r="M212" s="7">
        <f>IF(L212&gt;0,(K212-L212)/K212*100,"")</f>
        <v/>
      </c>
    </row>
    <row r="213">
      <c r="A213" t="n">
        <v>212</v>
      </c>
      <c r="B213" t="inlineStr">
        <is>
          <t>RRO246</t>
        </is>
      </c>
      <c r="C213" t="inlineStr">
        <is>
          <t>Set de cuchara y tenedor(CJAX240)</t>
        </is>
      </c>
      <c r="D213" t="inlineStr">
        <is>
          <t>Hogar y Decoración</t>
        </is>
      </c>
      <c r="E213" t="inlineStr">
        <is>
          <t>Menaje de Cocina</t>
        </is>
      </c>
      <c r="F213" t="inlineStr">
        <is>
          <t>Utensilios de Cocina</t>
        </is>
      </c>
      <c r="G213" s="8" t="n">
        <v>600</v>
      </c>
      <c r="H213" s="9" t="n">
        <v>240</v>
      </c>
      <c r="I213" t="n">
        <v>201</v>
      </c>
      <c r="J213" s="10" t="n">
        <v>46138</v>
      </c>
      <c r="K213" s="8" t="n">
        <v>2.5</v>
      </c>
      <c r="L213" s="6" t="inlineStr"/>
      <c r="M213" s="7">
        <f>IF(L213&gt;0,(K213-L213)/K213*100,"")</f>
        <v/>
      </c>
    </row>
    <row r="214">
      <c r="A214" s="2" t="n">
        <v>213</v>
      </c>
      <c r="B214" s="2" t="inlineStr">
        <is>
          <t>AR13084001</t>
        </is>
      </c>
      <c r="C214" s="2" t="inlineStr">
        <is>
          <t>FORRO ARTESCO ECOFAN OFICIO X 5 mts. (CAJAX25)</t>
        </is>
      </c>
      <c r="D214" s="2" t="inlineStr">
        <is>
          <t>Librería y Oficina</t>
        </is>
      </c>
      <c r="E214" s="2" t="inlineStr">
        <is>
          <t>Útiles Escolares</t>
        </is>
      </c>
      <c r="F214" s="2" t="inlineStr">
        <is>
          <t>Forros para Cuadernos</t>
        </is>
      </c>
      <c r="G214" s="3" t="n">
        <v>594</v>
      </c>
      <c r="H214" s="4" t="n">
        <v>66</v>
      </c>
      <c r="I214" s="2" t="n">
        <v>60</v>
      </c>
      <c r="J214" s="5" t="n">
        <v>46121</v>
      </c>
      <c r="K214" s="3" t="n">
        <v>9</v>
      </c>
      <c r="L214" s="6" t="inlineStr"/>
      <c r="M214" s="7">
        <f>IF(L214&gt;0,(K214-L214)/K214*100,"")</f>
        <v/>
      </c>
    </row>
    <row r="215">
      <c r="A215" t="n">
        <v>214</v>
      </c>
      <c r="B215" t="inlineStr">
        <is>
          <t>ROMA-02CM</t>
        </is>
      </c>
      <c r="C215" t="inlineStr">
        <is>
          <t>Insecticida Sapolio Mata Moscas y Zancudos 360Ml</t>
        </is>
      </c>
      <c r="D215" t="inlineStr">
        <is>
          <t>Limpieza</t>
        </is>
      </c>
      <c r="E215" t="inlineStr">
        <is>
          <t>Limpiadores Específicos</t>
        </is>
      </c>
      <c r="F215" t="inlineStr">
        <is>
          <t>Insecticidas</t>
        </is>
      </c>
      <c r="G215" s="8" t="n">
        <v>587.4</v>
      </c>
      <c r="H215" s="9" t="n">
        <v>66</v>
      </c>
      <c r="I215" t="n">
        <v>66</v>
      </c>
      <c r="J215" s="10" t="n">
        <v>46175</v>
      </c>
      <c r="K215" s="8" t="n">
        <v>8.9</v>
      </c>
      <c r="L215" s="6" t="inlineStr"/>
      <c r="M215" s="7">
        <f>IF(L215&gt;0,(K215-L215)/K215*100,"")</f>
        <v/>
      </c>
    </row>
    <row r="216">
      <c r="A216" s="2" t="n">
        <v>215</v>
      </c>
      <c r="B216" s="2" t="inlineStr">
        <is>
          <t>15041006</t>
        </is>
      </c>
      <c r="C216" s="2" t="inlineStr">
        <is>
          <t>MASITA BLANDA ARTESCO 5 X 2 ONZAS + MOLDE (CAJONX12)</t>
        </is>
      </c>
      <c r="D216" s="2" t="inlineStr">
        <is>
          <t>Librería y Oficina</t>
        </is>
      </c>
      <c r="E216" s="2" t="inlineStr">
        <is>
          <t>Útiles Escolares</t>
        </is>
      </c>
      <c r="F216" s="2" t="inlineStr">
        <is>
          <t>Plastilinas y Masas</t>
        </is>
      </c>
      <c r="G216" s="3" t="n">
        <v>579.75</v>
      </c>
      <c r="H216" s="4" t="n">
        <v>43</v>
      </c>
      <c r="I216" s="2" t="n">
        <v>37</v>
      </c>
      <c r="J216" s="5" t="n">
        <v>46149</v>
      </c>
      <c r="K216" s="3" t="n">
        <v>13.61</v>
      </c>
      <c r="L216" s="6" t="inlineStr"/>
      <c r="M216" s="7">
        <f>IF(L216&gt;0,(K216-L216)/K216*100,"")</f>
        <v/>
      </c>
    </row>
    <row r="217">
      <c r="A217" t="n">
        <v>216</v>
      </c>
      <c r="B217" t="inlineStr">
        <is>
          <t>77240956604391</t>
        </is>
      </c>
      <c r="C217" t="inlineStr">
        <is>
          <t>Detergente Trome Encanto Floral 500Gr</t>
        </is>
      </c>
      <c r="D217" t="inlineStr">
        <is>
          <t>Limpieza</t>
        </is>
      </c>
      <c r="E217" t="inlineStr">
        <is>
          <t>Detergentes y Suavizantes</t>
        </is>
      </c>
      <c r="F217" t="inlineStr">
        <is>
          <t>Detergentes en Polvo</t>
        </is>
      </c>
      <c r="G217" s="8" t="n">
        <v>579</v>
      </c>
      <c r="H217" s="9" t="n">
        <v>193</v>
      </c>
      <c r="I217" t="n">
        <v>155</v>
      </c>
      <c r="J217" s="10" t="n">
        <v>46162</v>
      </c>
      <c r="K217" s="8" t="n">
        <v>3</v>
      </c>
      <c r="L217" s="6" t="inlineStr"/>
      <c r="M217" s="7">
        <f>IF(L217&gt;0,(K217-L217)/K217*100,"")</f>
        <v/>
      </c>
    </row>
    <row r="218">
      <c r="A218" s="2" t="n">
        <v>217</v>
      </c>
      <c r="B218" s="2" t="inlineStr">
        <is>
          <t>CC-647</t>
        </is>
      </c>
      <c r="C218" s="2" t="inlineStr">
        <is>
          <t>Kit de aseo personal</t>
        </is>
      </c>
      <c r="D218" s="2" t="inlineStr">
        <is>
          <t>Packs</t>
        </is>
      </c>
      <c r="E218" s="2" t="inlineStr">
        <is>
          <t>Packs y Kits</t>
        </is>
      </c>
      <c r="F218" s="2" t="inlineStr">
        <is>
          <t>Packs y Kits Variados</t>
        </is>
      </c>
      <c r="G218" s="3" t="n">
        <v>578</v>
      </c>
      <c r="H218" s="4" t="n">
        <v>68</v>
      </c>
      <c r="I218" s="2" t="n">
        <v>59</v>
      </c>
      <c r="J218" s="5" t="n">
        <v>46149</v>
      </c>
      <c r="K218" s="3" t="n">
        <v>8.5</v>
      </c>
      <c r="L218" s="6" t="inlineStr"/>
      <c r="M218" s="7">
        <f>IF(L218&gt;0,(K218-L218)/K218*100,"")</f>
        <v/>
      </c>
    </row>
    <row r="219">
      <c r="A219" t="n">
        <v>218</v>
      </c>
      <c r="B219" t="inlineStr">
        <is>
          <t>75875160905157</t>
        </is>
      </c>
      <c r="C219" t="inlineStr">
        <is>
          <t>Jabón Rosas y Limón Coco Caribe 48×110 gr</t>
        </is>
      </c>
      <c r="D219" t="inlineStr">
        <is>
          <t>Cuidado Personal y Salud</t>
        </is>
      </c>
      <c r="E219" t="inlineStr">
        <is>
          <t>Higiene Personal</t>
        </is>
      </c>
      <c r="F219" t="inlineStr">
        <is>
          <t>Jabones Corporales</t>
        </is>
      </c>
      <c r="G219" s="8" t="n">
        <v>574</v>
      </c>
      <c r="H219" s="9" t="n">
        <v>164</v>
      </c>
      <c r="I219" t="n">
        <v>151</v>
      </c>
      <c r="J219" s="10" t="n">
        <v>46178</v>
      </c>
      <c r="K219" s="8" t="n">
        <v>3.5</v>
      </c>
      <c r="L219" s="6" t="inlineStr"/>
      <c r="M219" s="7">
        <f>IF(L219&gt;0,(K219-L219)/K219*100,"")</f>
        <v/>
      </c>
    </row>
    <row r="220">
      <c r="A220" s="2" t="n">
        <v>219</v>
      </c>
      <c r="B220" s="2" t="inlineStr">
        <is>
          <t>2000140171</t>
        </is>
      </c>
      <c r="C220" s="2" t="inlineStr">
        <is>
          <t>LÁPIZ COLOR LARGOS LAYCONSA SUPER SOFT X 12 + 2 COLORES PIEL, MINA 4MM</t>
        </is>
      </c>
      <c r="D220" s="2" t="inlineStr">
        <is>
          <t>Librería y Oficina</t>
        </is>
      </c>
      <c r="E220" s="2" t="inlineStr">
        <is>
          <t>Útiles Escolares</t>
        </is>
      </c>
      <c r="F220" s="2" t="inlineStr">
        <is>
          <t>Colores y Crayolas</t>
        </is>
      </c>
      <c r="G220" s="3" t="n">
        <v>573.7</v>
      </c>
      <c r="H220" s="4" t="n">
        <v>59</v>
      </c>
      <c r="I220" s="2" t="n">
        <v>50</v>
      </c>
      <c r="J220" s="5" t="n">
        <v>46123</v>
      </c>
      <c r="K220" s="3" t="n">
        <v>9.83</v>
      </c>
      <c r="L220" s="6" t="inlineStr"/>
      <c r="M220" s="7">
        <f>IF(L220&gt;0,(K220-L220)/K220*100,"")</f>
        <v/>
      </c>
    </row>
    <row r="221">
      <c r="A221" t="n">
        <v>220</v>
      </c>
      <c r="B221" t="inlineStr">
        <is>
          <t>LS-458</t>
        </is>
      </c>
      <c r="C221" t="inlineStr">
        <is>
          <t>ACEITERO</t>
        </is>
      </c>
      <c r="D221" t="inlineStr">
        <is>
          <t>Hogar y Decoración</t>
        </is>
      </c>
      <c r="E221" t="inlineStr">
        <is>
          <t>Menaje de Comedor</t>
        </is>
      </c>
      <c r="F221" t="inlineStr">
        <is>
          <t>Accesorios de Mesa</t>
        </is>
      </c>
      <c r="G221" s="8" t="n">
        <v>572.9</v>
      </c>
      <c r="H221" s="9" t="n">
        <v>201</v>
      </c>
      <c r="I221" t="n">
        <v>162</v>
      </c>
      <c r="J221" s="10" t="n">
        <v>46169</v>
      </c>
      <c r="K221" s="8" t="n">
        <v>2.9</v>
      </c>
      <c r="L221" s="6" t="inlineStr"/>
      <c r="M221" s="7">
        <f>IF(L221&gt;0,(K221-L221)/K221*100,"")</f>
        <v/>
      </c>
    </row>
    <row r="222">
      <c r="A222" s="2" t="n">
        <v>221</v>
      </c>
      <c r="B222" s="2" t="inlineStr">
        <is>
          <t>75961067315467</t>
        </is>
      </c>
      <c r="C222" s="2" t="inlineStr">
        <is>
          <t>Galleta Costa D Chips Chocolate 6x34Gr</t>
        </is>
      </c>
      <c r="D222" s="2" t="inlineStr">
        <is>
          <t>Abarrotes</t>
        </is>
      </c>
      <c r="E222" s="2" t="inlineStr">
        <is>
          <t>Dulces y Chocolates</t>
        </is>
      </c>
      <c r="F222" s="2" t="inlineStr">
        <is>
          <t>Galletas</t>
        </is>
      </c>
      <c r="G222" s="3" t="n">
        <v>572</v>
      </c>
      <c r="H222" s="4" t="n">
        <v>110</v>
      </c>
      <c r="I222" s="2" t="n">
        <v>109</v>
      </c>
      <c r="J222" s="5" t="n">
        <v>46150</v>
      </c>
      <c r="K222" s="3" t="n">
        <v>5.2</v>
      </c>
      <c r="L222" s="6" t="inlineStr"/>
      <c r="M222" s="7">
        <f>IF(L222&gt;0,(K222-L222)/K222*100,"")</f>
        <v/>
      </c>
    </row>
    <row r="223">
      <c r="A223" t="n">
        <v>222</v>
      </c>
      <c r="B223" t="inlineStr">
        <is>
          <t>P1218</t>
        </is>
      </c>
      <c r="C223" t="inlineStr">
        <is>
          <t>PISO NIÑOS MEDIANO</t>
        </is>
      </c>
      <c r="D223" t="inlineStr">
        <is>
          <t>Bebé e Infantil</t>
        </is>
      </c>
      <c r="E223" t="inlineStr">
        <is>
          <t>Cuidado Infantil</t>
        </is>
      </c>
      <c r="F223" t="inlineStr">
        <is>
          <t>Cuidado Infantil</t>
        </is>
      </c>
      <c r="G223" s="8" t="n">
        <v>571.2</v>
      </c>
      <c r="H223" s="9" t="n">
        <v>48</v>
      </c>
      <c r="I223" t="n">
        <v>46</v>
      </c>
      <c r="J223" s="10" t="n">
        <v>46150</v>
      </c>
      <c r="K223" s="8" t="n">
        <v>11.9</v>
      </c>
      <c r="L223" s="6" t="inlineStr"/>
      <c r="M223" s="7">
        <f>IF(L223&gt;0,(K223-L223)/K223*100,"")</f>
        <v/>
      </c>
    </row>
    <row r="224">
      <c r="A224" s="2" t="n">
        <v>223</v>
      </c>
      <c r="B224" s="2" t="inlineStr">
        <is>
          <t>6812</t>
        </is>
      </c>
      <c r="C224" s="2" t="inlineStr">
        <is>
          <t>Papel Fotográfico Chamequito</t>
        </is>
      </c>
      <c r="D224" s="2" t="inlineStr">
        <is>
          <t>Librería y Oficina</t>
        </is>
      </c>
      <c r="E224" s="2" t="inlineStr">
        <is>
          <t>Útiles Escolares</t>
        </is>
      </c>
      <c r="F224" s="2" t="inlineStr">
        <is>
          <t>Papeles y Cartulinas</t>
        </is>
      </c>
      <c r="G224" s="3" t="n">
        <v>568.4</v>
      </c>
      <c r="H224" s="4" t="n">
        <v>116</v>
      </c>
      <c r="I224" s="2" t="n">
        <v>92</v>
      </c>
      <c r="J224" s="5" t="n">
        <v>46111</v>
      </c>
      <c r="K224" s="3" t="n">
        <v>4.9</v>
      </c>
      <c r="L224" s="6" t="inlineStr"/>
      <c r="M224" s="7">
        <f>IF(L224&gt;0,(K224-L224)/K224*100,"")</f>
        <v/>
      </c>
    </row>
    <row r="225">
      <c r="A225" t="n">
        <v>224</v>
      </c>
      <c r="B225" t="inlineStr">
        <is>
          <t>2110020346</t>
        </is>
      </c>
      <c r="C225" t="inlineStr">
        <is>
          <t>PLUMONES LAYCONSA SCHOOL 45 ESTUCHE X 36</t>
        </is>
      </c>
      <c r="D225" t="inlineStr">
        <is>
          <t>Librería y Oficina</t>
        </is>
      </c>
      <c r="E225" t="inlineStr">
        <is>
          <t>Útiles Escolares</t>
        </is>
      </c>
      <c r="F225" t="inlineStr">
        <is>
          <t>Plumones y Marcadores</t>
        </is>
      </c>
      <c r="G225" s="8" t="n">
        <v>567.63</v>
      </c>
      <c r="H225" s="9" t="n">
        <v>36</v>
      </c>
      <c r="I225" t="n">
        <v>32</v>
      </c>
      <c r="J225" s="10" t="n">
        <v>46096</v>
      </c>
      <c r="K225" s="8" t="n">
        <v>15.85</v>
      </c>
      <c r="L225" s="6" t="inlineStr"/>
      <c r="M225" s="7">
        <f>IF(L225&gt;0,(K225-L225)/K225*100,"")</f>
        <v/>
      </c>
    </row>
    <row r="226">
      <c r="A226" s="2" t="n">
        <v>225</v>
      </c>
      <c r="B226" s="2" t="inlineStr">
        <is>
          <t>75875160747233</t>
        </is>
      </c>
      <c r="C226" s="2" t="inlineStr">
        <is>
          <t>Ambientador Bay-Cin pray Bosque Gracial</t>
        </is>
      </c>
      <c r="D226" s="2" t="inlineStr">
        <is>
          <t>Limpieza</t>
        </is>
      </c>
      <c r="E226" s="2" t="inlineStr">
        <is>
          <t>Limpiadores Específicos</t>
        </is>
      </c>
      <c r="F226" s="2" t="inlineStr">
        <is>
          <t>Ambientadores</t>
        </is>
      </c>
      <c r="G226" s="3" t="n">
        <v>565.5</v>
      </c>
      <c r="H226" s="4" t="n">
        <v>87</v>
      </c>
      <c r="I226" s="2" t="n">
        <v>85</v>
      </c>
      <c r="J226" s="5" t="n">
        <v>46178</v>
      </c>
      <c r="K226" s="3" t="n">
        <v>6.5</v>
      </c>
      <c r="L226" s="6" t="inlineStr"/>
      <c r="M226" s="7">
        <f>IF(L226&gt;0,(K226-L226)/K226*100,"")</f>
        <v/>
      </c>
    </row>
    <row r="227">
      <c r="A227" t="n">
        <v>226</v>
      </c>
      <c r="B227" t="inlineStr">
        <is>
          <t>101606</t>
        </is>
      </c>
      <c r="C227" t="inlineStr">
        <is>
          <t>PLATO PERRO X 144 PZS</t>
        </is>
      </c>
      <c r="D227" t="inlineStr">
        <is>
          <t>Mascotas</t>
        </is>
      </c>
      <c r="E227" t="inlineStr">
        <is>
          <t>Accesorios para Mascotas</t>
        </is>
      </c>
      <c r="F227" t="inlineStr">
        <is>
          <t>Platos y bebederos para perros</t>
        </is>
      </c>
      <c r="G227" s="8" t="n">
        <v>561.6</v>
      </c>
      <c r="H227" s="9" t="n">
        <v>144</v>
      </c>
      <c r="I227" t="n">
        <v>110</v>
      </c>
      <c r="J227" s="10" t="n">
        <v>46144</v>
      </c>
      <c r="K227" s="8" t="n">
        <v>3.9</v>
      </c>
      <c r="L227" s="6" t="inlineStr"/>
      <c r="M227" s="7">
        <f>IF(L227&gt;0,(K227-L227)/K227*100,"")</f>
        <v/>
      </c>
    </row>
    <row r="228">
      <c r="A228" s="2" t="n">
        <v>227</v>
      </c>
      <c r="B228" s="2" t="inlineStr">
        <is>
          <t>804359</t>
        </is>
      </c>
      <c r="C228" s="2" t="inlineStr">
        <is>
          <t>25 SCOOL RANGER SET MALETA GDE EVA 3D DRAGON BALL B</t>
        </is>
      </c>
      <c r="D228" s="2" t="inlineStr">
        <is>
          <t>Librería y Oficina</t>
        </is>
      </c>
      <c r="E228" s="2" t="inlineStr">
        <is>
          <t>Mochilas y Cartucheras</t>
        </is>
      </c>
      <c r="F228" s="2" t="inlineStr">
        <is>
          <t>Mochilas Escolares</t>
        </is>
      </c>
      <c r="G228" s="3" t="n">
        <v>560.67</v>
      </c>
      <c r="H228" s="4" t="n">
        <v>4</v>
      </c>
      <c r="I228" s="2" t="n">
        <v>4</v>
      </c>
      <c r="J228" s="5" t="n">
        <v>46105</v>
      </c>
      <c r="K228" s="3" t="n">
        <v>140.17</v>
      </c>
      <c r="L228" s="6" t="inlineStr"/>
      <c r="M228" s="7">
        <f>IF(L228&gt;0,(K228-L228)/K228*100,"")</f>
        <v/>
      </c>
    </row>
    <row r="229">
      <c r="A229" t="n">
        <v>228</v>
      </c>
      <c r="B229" t="inlineStr">
        <is>
          <t>MER-3666</t>
        </is>
      </c>
      <c r="C229" t="inlineStr">
        <is>
          <t>CUADERNO UNIVERSITARIO A-4</t>
        </is>
      </c>
      <c r="D229" t="inlineStr">
        <is>
          <t>Librería y Oficina</t>
        </is>
      </c>
      <c r="E229" t="inlineStr">
        <is>
          <t>Útiles Escolares</t>
        </is>
      </c>
      <c r="F229" t="inlineStr">
        <is>
          <t>Cuadernos y Blocks</t>
        </is>
      </c>
      <c r="G229" s="8" t="n">
        <v>558.62</v>
      </c>
      <c r="H229" s="9" t="n">
        <v>51</v>
      </c>
      <c r="I229" t="n">
        <v>43</v>
      </c>
      <c r="J229" s="10" t="n">
        <v>46117</v>
      </c>
      <c r="K229" s="8" t="n">
        <v>10.92</v>
      </c>
      <c r="L229" s="6" t="inlineStr"/>
      <c r="M229" s="7">
        <f>IF(L229&gt;0,(K229-L229)/K229*100,"")</f>
        <v/>
      </c>
    </row>
    <row r="230">
      <c r="A230" s="2" t="n">
        <v>229</v>
      </c>
      <c r="B230" s="2" t="inlineStr">
        <is>
          <t>MEKA-04</t>
        </is>
      </c>
      <c r="C230" s="2" t="inlineStr">
        <is>
          <t>CINTA EMBALAJE 80 X6</t>
        </is>
      </c>
      <c r="D230" s="2" t="inlineStr">
        <is>
          <t>Librería y Oficina</t>
        </is>
      </c>
      <c r="E230" s="2" t="inlineStr">
        <is>
          <t>Útiles Escolares</t>
        </is>
      </c>
      <c r="F230" s="2" t="inlineStr">
        <is>
          <t>Cintas y Contact</t>
        </is>
      </c>
      <c r="G230" s="3" t="n">
        <v>557.5</v>
      </c>
      <c r="H230" s="4" t="n">
        <v>45</v>
      </c>
      <c r="I230" s="2" t="n">
        <v>36</v>
      </c>
      <c r="J230" s="5" t="n">
        <v>46111</v>
      </c>
      <c r="K230" s="3" t="n">
        <v>12.43</v>
      </c>
      <c r="L230" s="6" t="inlineStr"/>
      <c r="M230" s="7">
        <f>IF(L230&gt;0,(K230-L230)/K230*100,"")</f>
        <v/>
      </c>
    </row>
    <row r="231">
      <c r="A231" t="n">
        <v>230</v>
      </c>
      <c r="B231" t="inlineStr">
        <is>
          <t>TV-7</t>
        </is>
      </c>
      <c r="C231" t="inlineStr">
        <is>
          <t>TEMPERA VINFAN SETX7 + 1PINCEL + 1PALETA</t>
        </is>
      </c>
      <c r="D231" t="inlineStr">
        <is>
          <t>Librería y Oficina</t>
        </is>
      </c>
      <c r="E231" t="inlineStr">
        <is>
          <t>Útiles Escolares</t>
        </is>
      </c>
      <c r="F231" t="inlineStr">
        <is>
          <t>Témperas y Pinturas</t>
        </is>
      </c>
      <c r="G231" s="8" t="n">
        <v>556.33</v>
      </c>
      <c r="H231" s="9" t="n">
        <v>72</v>
      </c>
      <c r="I231" t="n">
        <v>63</v>
      </c>
      <c r="J231" s="10" t="n">
        <v>46105</v>
      </c>
      <c r="K231" s="8" t="n">
        <v>7.75</v>
      </c>
      <c r="L231" s="6" t="inlineStr"/>
      <c r="M231" s="7">
        <f>IF(L231&gt;0,(K231-L231)/K231*100,"")</f>
        <v/>
      </c>
    </row>
    <row r="232">
      <c r="A232" s="2" t="n">
        <v>231</v>
      </c>
      <c r="B232" s="2" t="inlineStr">
        <is>
          <t>MER-1901</t>
        </is>
      </c>
      <c r="C232" s="2" t="inlineStr">
        <is>
          <t>SET 7 TEMPERAS + 1PINCEL</t>
        </is>
      </c>
      <c r="D232" s="2" t="inlineStr">
        <is>
          <t>Librería y Oficina</t>
        </is>
      </c>
      <c r="E232" s="2" t="inlineStr">
        <is>
          <t>Útiles Escolares</t>
        </is>
      </c>
      <c r="F232" s="2" t="inlineStr">
        <is>
          <t>Témperas y Pinturas</t>
        </is>
      </c>
      <c r="G232" s="3" t="n">
        <v>552.5</v>
      </c>
      <c r="H232" s="4" t="n">
        <v>88</v>
      </c>
      <c r="I232" s="2" t="n">
        <v>62</v>
      </c>
      <c r="J232" s="5" t="n">
        <v>46098</v>
      </c>
      <c r="K232" s="3" t="n">
        <v>6.43</v>
      </c>
      <c r="L232" s="6" t="inlineStr"/>
      <c r="M232" s="7">
        <f>IF(L232&gt;0,(K232-L232)/K232*100,"")</f>
        <v/>
      </c>
    </row>
    <row r="233">
      <c r="A233" t="n">
        <v>232</v>
      </c>
      <c r="B233" t="inlineStr">
        <is>
          <t>21406</t>
        </is>
      </c>
      <c r="C233" t="inlineStr">
        <is>
          <t>AQUA ALGAS MARINAS JABÓN DE GLICERINA 100G</t>
        </is>
      </c>
      <c r="D233" t="inlineStr">
        <is>
          <t>Cuidado Personal y Salud</t>
        </is>
      </c>
      <c r="E233" t="inlineStr">
        <is>
          <t>Higiene Personal</t>
        </is>
      </c>
      <c r="F233" t="inlineStr">
        <is>
          <t>Jabones Corporales</t>
        </is>
      </c>
      <c r="G233" s="8" t="n">
        <v>552.5</v>
      </c>
      <c r="H233" s="9" t="n">
        <v>221</v>
      </c>
      <c r="I233" t="n">
        <v>184</v>
      </c>
      <c r="J233" s="10" t="n">
        <v>46178</v>
      </c>
      <c r="K233" s="8" t="n">
        <v>2.5</v>
      </c>
      <c r="L233" s="6" t="inlineStr"/>
      <c r="M233" s="7">
        <f>IF(L233&gt;0,(K233-L233)/K233*100,"")</f>
        <v/>
      </c>
    </row>
    <row r="234">
      <c r="A234" s="2" t="n">
        <v>233</v>
      </c>
      <c r="B234" s="2" t="inlineStr">
        <is>
          <t>75875160679858</t>
        </is>
      </c>
      <c r="C234" s="2" t="inlineStr">
        <is>
          <t>AC Nutribela Biokeratina 370ml ACONDICIONADOR</t>
        </is>
      </c>
      <c r="D234" s="2" t="inlineStr">
        <is>
          <t>Cuidado Personal y Salud</t>
        </is>
      </c>
      <c r="E234" s="2" t="inlineStr">
        <is>
          <t>Cuidado del Cabello</t>
        </is>
      </c>
      <c r="F234" s="2" t="inlineStr">
        <is>
          <t>Acondicionadores</t>
        </is>
      </c>
      <c r="G234" s="3" t="n">
        <v>551.3099999999999</v>
      </c>
      <c r="H234" s="4" t="n">
        <v>37</v>
      </c>
      <c r="I234" s="2" t="n">
        <v>37</v>
      </c>
      <c r="J234" s="5" t="n">
        <v>46178</v>
      </c>
      <c r="K234" s="3" t="n">
        <v>14.9</v>
      </c>
      <c r="L234" s="6" t="inlineStr"/>
      <c r="M234" s="7">
        <f>IF(L234&gt;0,(K234-L234)/K234*100,"")</f>
        <v/>
      </c>
    </row>
    <row r="235">
      <c r="A235" t="n">
        <v>234</v>
      </c>
      <c r="B235" t="inlineStr">
        <is>
          <t>PLM-RROJA</t>
        </is>
      </c>
      <c r="C235" t="inlineStr">
        <is>
          <t>PLUMON ARTESCO PIZARRA RECARGABLE R123 ROJO</t>
        </is>
      </c>
      <c r="D235" t="inlineStr">
        <is>
          <t>Librería y Oficina</t>
        </is>
      </c>
      <c r="E235" t="inlineStr">
        <is>
          <t>Útiles Escolares</t>
        </is>
      </c>
      <c r="F235" t="inlineStr">
        <is>
          <t>Plumones y Marcadores</t>
        </is>
      </c>
      <c r="G235" s="8" t="n">
        <v>550.48</v>
      </c>
      <c r="H235" s="9" t="n">
        <v>134</v>
      </c>
      <c r="I235" t="n">
        <v>97</v>
      </c>
      <c r="J235" s="10" t="n">
        <v>46109</v>
      </c>
      <c r="K235" s="8" t="n">
        <v>4.2</v>
      </c>
      <c r="L235" s="6" t="inlineStr"/>
      <c r="M235" s="7">
        <f>IF(L235&gt;0,(K235-L235)/K235*100,"")</f>
        <v/>
      </c>
    </row>
    <row r="236">
      <c r="A236" s="2" t="n">
        <v>235</v>
      </c>
      <c r="B236" s="2" t="inlineStr">
        <is>
          <t>841882</t>
        </is>
      </c>
      <c r="C236" s="2" t="inlineStr">
        <is>
          <t>JGO ESCUAD X 30CM ECON YIMI</t>
        </is>
      </c>
      <c r="D236" s="2" t="inlineStr">
        <is>
          <t>Librería y Oficina</t>
        </is>
      </c>
      <c r="E236" s="2" t="inlineStr">
        <is>
          <t>Útiles Escolares</t>
        </is>
      </c>
      <c r="F236" s="2" t="inlineStr">
        <is>
          <t>Tijeras y Reglas</t>
        </is>
      </c>
      <c r="G236" s="3" t="n">
        <v>548.22</v>
      </c>
      <c r="H236" s="4" t="n">
        <v>174</v>
      </c>
      <c r="I236" s="2" t="n">
        <v>136</v>
      </c>
      <c r="J236" s="5" t="n">
        <v>46099</v>
      </c>
      <c r="K236" s="3" t="n">
        <v>3.19</v>
      </c>
      <c r="L236" s="6" t="inlineStr"/>
      <c r="M236" s="7">
        <f>IF(L236&gt;0,(K236-L236)/K236*100,"")</f>
        <v/>
      </c>
    </row>
    <row r="237">
      <c r="A237" t="n">
        <v>236</v>
      </c>
      <c r="B237" t="inlineStr">
        <is>
          <t>CDR-DX</t>
        </is>
      </c>
      <c r="C237" t="inlineStr">
        <is>
          <t>CUADERNO DELUXE COLLEGE CHIKITINES A4 80H 1X1</t>
        </is>
      </c>
      <c r="D237" t="inlineStr">
        <is>
          <t>Librería y Oficina</t>
        </is>
      </c>
      <c r="E237" t="inlineStr">
        <is>
          <t>Útiles Escolares</t>
        </is>
      </c>
      <c r="F237" t="inlineStr">
        <is>
          <t>Cuadernos y Blocks</t>
        </is>
      </c>
      <c r="G237" s="8" t="n">
        <v>546</v>
      </c>
      <c r="H237" s="9" t="n">
        <v>105</v>
      </c>
      <c r="I237" t="n">
        <v>42</v>
      </c>
      <c r="J237" s="10" t="n">
        <v>46141</v>
      </c>
      <c r="K237" s="8" t="n">
        <v>5.2</v>
      </c>
      <c r="L237" s="6" t="inlineStr"/>
      <c r="M237" s="7">
        <f>IF(L237&gt;0,(K237-L237)/K237*100,"")</f>
        <v/>
      </c>
    </row>
    <row r="238">
      <c r="A238" s="2" t="n">
        <v>237</v>
      </c>
      <c r="B238" s="2" t="inlineStr">
        <is>
          <t>AGTI-50</t>
        </is>
      </c>
      <c r="C238" s="2" t="inlineStr">
        <is>
          <t>Fruto Salvaje (Labial mágico)</t>
        </is>
      </c>
      <c r="D238" s="2" t="inlineStr">
        <is>
          <t>Belleza</t>
        </is>
      </c>
      <c r="E238" s="2" t="inlineStr">
        <is>
          <t>Maquillaje y Cosméticos</t>
        </is>
      </c>
      <c r="F238" s="2" t="inlineStr">
        <is>
          <t>Labial</t>
        </is>
      </c>
      <c r="G238" s="3" t="n">
        <v>544</v>
      </c>
      <c r="H238" s="4" t="n">
        <v>64</v>
      </c>
      <c r="I238" s="2" t="n">
        <v>60</v>
      </c>
      <c r="J238" s="5" t="n">
        <v>46178</v>
      </c>
      <c r="K238" s="3" t="n">
        <v>8.5</v>
      </c>
      <c r="L238" s="6" t="inlineStr"/>
      <c r="M238" s="7">
        <f>IF(L238&gt;0,(K238-L238)/K238*100,"")</f>
        <v/>
      </c>
    </row>
    <row r="239">
      <c r="A239" t="n">
        <v>238</v>
      </c>
      <c r="B239" t="inlineStr">
        <is>
          <t>AEL0003A</t>
        </is>
      </c>
      <c r="C239" t="inlineStr">
        <is>
          <t>LONCHERA</t>
        </is>
      </c>
      <c r="D239" t="inlineStr">
        <is>
          <t>Librería y Oficina</t>
        </is>
      </c>
      <c r="E239" t="inlineStr">
        <is>
          <t>Loncheras y Taperes Escolares</t>
        </is>
      </c>
      <c r="F239" t="inlineStr">
        <is>
          <t>Loncheras Escolares</t>
        </is>
      </c>
      <c r="G239" s="8" t="n">
        <v>539</v>
      </c>
      <c r="H239" s="9" t="n">
        <v>110</v>
      </c>
      <c r="I239" t="n">
        <v>93</v>
      </c>
      <c r="J239" s="10" t="n">
        <v>46111</v>
      </c>
      <c r="K239" s="8" t="n">
        <v>4.9</v>
      </c>
      <c r="L239" s="6" t="inlineStr"/>
      <c r="M239" s="7">
        <f>IF(L239&gt;0,(K239-L239)/K239*100,"")</f>
        <v/>
      </c>
    </row>
    <row r="240">
      <c r="A240" s="2" t="n">
        <v>239</v>
      </c>
      <c r="B240" s="2" t="inlineStr">
        <is>
          <t>MEKA-13</t>
        </is>
      </c>
      <c r="C240" s="2" t="inlineStr">
        <is>
          <t>CINTA EMBALAJE 60 X6</t>
        </is>
      </c>
      <c r="D240" s="2" t="inlineStr">
        <is>
          <t>Librería y Oficina</t>
        </is>
      </c>
      <c r="E240" s="2" t="inlineStr">
        <is>
          <t>Útiles Escolares</t>
        </is>
      </c>
      <c r="F240" s="2" t="inlineStr">
        <is>
          <t>Cintas y Contact</t>
        </is>
      </c>
      <c r="G240" s="3" t="n">
        <v>537.87</v>
      </c>
      <c r="H240" s="4" t="n">
        <v>56</v>
      </c>
      <c r="I240" s="2" t="n">
        <v>41</v>
      </c>
      <c r="J240" s="5" t="n">
        <v>46111</v>
      </c>
      <c r="K240" s="3" t="n">
        <v>9.66</v>
      </c>
      <c r="L240" s="6" t="inlineStr"/>
      <c r="M240" s="7">
        <f>IF(L240&gt;0,(K240-L240)/K240*100,"")</f>
        <v/>
      </c>
    </row>
    <row r="241">
      <c r="A241" t="n">
        <v>240</v>
      </c>
      <c r="B241" t="inlineStr">
        <is>
          <t>21401</t>
        </is>
      </c>
      <c r="C241" t="inlineStr">
        <is>
          <t>AQUA ROSAS JABÓN DE GLICERINA 100G</t>
        </is>
      </c>
      <c r="D241" t="inlineStr">
        <is>
          <t>Cuidado Personal y Salud</t>
        </is>
      </c>
      <c r="E241" t="inlineStr">
        <is>
          <t>Higiene Personal</t>
        </is>
      </c>
      <c r="F241" t="inlineStr">
        <is>
          <t>Jabones Corporales</t>
        </is>
      </c>
      <c r="G241" s="8" t="n">
        <v>537.5</v>
      </c>
      <c r="H241" s="9" t="n">
        <v>215</v>
      </c>
      <c r="I241" t="n">
        <v>179</v>
      </c>
      <c r="J241" s="10" t="n">
        <v>46178</v>
      </c>
      <c r="K241" s="8" t="n">
        <v>2.5</v>
      </c>
      <c r="L241" s="6" t="inlineStr"/>
      <c r="M241" s="7">
        <f>IF(L241&gt;0,(K241-L241)/K241*100,"")</f>
        <v/>
      </c>
    </row>
    <row r="242">
      <c r="A242" s="2" t="n">
        <v>241</v>
      </c>
      <c r="B242" s="2" t="inlineStr">
        <is>
          <t>RC-8103</t>
        </is>
      </c>
      <c r="C242" s="2" t="inlineStr">
        <is>
          <t>TAJADOR RELOJ</t>
        </is>
      </c>
      <c r="D242" s="2" t="inlineStr">
        <is>
          <t>Librería y Oficina</t>
        </is>
      </c>
      <c r="E242" s="2" t="inlineStr">
        <is>
          <t>Útiles Escolares</t>
        </is>
      </c>
      <c r="F242" s="2" t="inlineStr">
        <is>
          <t>Borradores y Tajadores</t>
        </is>
      </c>
      <c r="G242" s="3" t="n">
        <v>536.22</v>
      </c>
      <c r="H242" s="4" t="n">
        <v>561</v>
      </c>
      <c r="I242" s="2" t="n">
        <v>271</v>
      </c>
      <c r="J242" s="5" t="n">
        <v>46102</v>
      </c>
      <c r="K242" s="3" t="n">
        <v>0.99</v>
      </c>
      <c r="L242" s="6" t="inlineStr"/>
      <c r="M242" s="7">
        <f>IF(L242&gt;0,(K242-L242)/K242*100,"")</f>
        <v/>
      </c>
    </row>
    <row r="243">
      <c r="A243" t="n">
        <v>242</v>
      </c>
      <c r="B243" t="inlineStr">
        <is>
          <t>2140040002</t>
        </is>
      </c>
      <c r="C243" t="inlineStr">
        <is>
          <t>LIMPIATIPOS LAYCONSA X 35 GR.</t>
        </is>
      </c>
      <c r="D243" t="inlineStr">
        <is>
          <t>Librería y Oficina</t>
        </is>
      </c>
      <c r="E243" t="inlineStr">
        <is>
          <t>Útiles Escolares</t>
        </is>
      </c>
      <c r="F243" t="inlineStr">
        <is>
          <t>Papelería Variada</t>
        </is>
      </c>
      <c r="G243" s="8" t="n">
        <v>535.52</v>
      </c>
      <c r="H243" s="9" t="n">
        <v>286</v>
      </c>
      <c r="I243" t="n">
        <v>195</v>
      </c>
      <c r="J243" s="10" t="n">
        <v>46110</v>
      </c>
      <c r="K243" s="8" t="n">
        <v>1.89</v>
      </c>
      <c r="L243" s="6" t="inlineStr"/>
      <c r="M243" s="7">
        <f>IF(L243&gt;0,(K243-L243)/K243*100,"")</f>
        <v/>
      </c>
    </row>
    <row r="244">
      <c r="A244" s="2" t="n">
        <v>243</v>
      </c>
      <c r="B244" s="2" t="inlineStr">
        <is>
          <t>76063314348738</t>
        </is>
      </c>
      <c r="C244" s="2" t="inlineStr">
        <is>
          <t>Gomitas Trululu con Gusanos Acidos 80gr</t>
        </is>
      </c>
      <c r="D244" s="2" t="inlineStr">
        <is>
          <t>Abarrotes</t>
        </is>
      </c>
      <c r="E244" s="2" t="inlineStr">
        <is>
          <t>Dulces y Chocolates</t>
        </is>
      </c>
      <c r="F244" s="2" t="inlineStr">
        <is>
          <t>Gomitas</t>
        </is>
      </c>
      <c r="G244" s="3" t="n">
        <v>532.5</v>
      </c>
      <c r="H244" s="4" t="n">
        <v>213</v>
      </c>
      <c r="I244" s="2" t="n">
        <v>205</v>
      </c>
      <c r="J244" s="5" t="n">
        <v>46178</v>
      </c>
      <c r="K244" s="3" t="n">
        <v>2.5</v>
      </c>
      <c r="L244" s="6" t="inlineStr"/>
      <c r="M244" s="7">
        <f>IF(L244&gt;0,(K244-L244)/K244*100,"")</f>
        <v/>
      </c>
    </row>
    <row r="245">
      <c r="A245" t="n">
        <v>244</v>
      </c>
      <c r="B245" t="inlineStr">
        <is>
          <t>BW60409</t>
        </is>
      </c>
      <c r="C245" t="inlineStr">
        <is>
          <t>BYWIN TOALLITAS HUMEDAS X 100 UND DEADPOOL &amp; WOLVERINE</t>
        </is>
      </c>
      <c r="D245" t="inlineStr">
        <is>
          <t>Cuidado Personal y Salud</t>
        </is>
      </c>
      <c r="E245" t="inlineStr">
        <is>
          <t>Toallitas Húmedas</t>
        </is>
      </c>
      <c r="F245" t="inlineStr">
        <is>
          <t>Toallitas Húmedas con Licencia</t>
        </is>
      </c>
      <c r="G245" s="8" t="n">
        <v>529.2</v>
      </c>
      <c r="H245" s="9" t="n">
        <v>147</v>
      </c>
      <c r="I245" t="n">
        <v>128</v>
      </c>
      <c r="J245" s="10" t="n">
        <v>46131</v>
      </c>
      <c r="K245" s="8" t="n">
        <v>3.6</v>
      </c>
      <c r="L245" s="6" t="inlineStr"/>
      <c r="M245" s="7">
        <f>IF(L245&gt;0,(K245-L245)/K245*100,"")</f>
        <v/>
      </c>
    </row>
    <row r="246">
      <c r="A246" s="2" t="n">
        <v>245</v>
      </c>
      <c r="B246" s="2" t="inlineStr">
        <is>
          <t>AGS-131</t>
        </is>
      </c>
      <c r="C246" s="2" t="inlineStr">
        <is>
          <t>SOMBRA CAPUCCINO</t>
        </is>
      </c>
      <c r="D246" s="2" t="inlineStr">
        <is>
          <t>Belleza</t>
        </is>
      </c>
      <c r="E246" s="2" t="inlineStr">
        <is>
          <t>Maquillaje y Cosméticos</t>
        </is>
      </c>
      <c r="F246" s="2" t="inlineStr">
        <is>
          <t>Sombras de Ojos</t>
        </is>
      </c>
      <c r="G246" s="3" t="n">
        <v>526.4</v>
      </c>
      <c r="H246" s="4" t="n">
        <v>16</v>
      </c>
      <c r="I246" s="2" t="n">
        <v>16</v>
      </c>
      <c r="J246" s="5" t="n">
        <v>46176</v>
      </c>
      <c r="K246" s="3" t="n">
        <v>32.9</v>
      </c>
      <c r="L246" s="6" t="inlineStr"/>
      <c r="M246" s="7">
        <f>IF(L246&gt;0,(K246-L246)/K246*100,"")</f>
        <v/>
      </c>
    </row>
    <row r="247">
      <c r="A247" t="n">
        <v>246</v>
      </c>
      <c r="B247" t="inlineStr">
        <is>
          <t>B1600</t>
        </is>
      </c>
      <c r="C247" t="inlineStr">
        <is>
          <t>TAPER + CUBIERTO</t>
        </is>
      </c>
      <c r="D247" t="inlineStr">
        <is>
          <t>Hogar y Decoración</t>
        </is>
      </c>
      <c r="E247" t="inlineStr">
        <is>
          <t>Menaje de Cocina</t>
        </is>
      </c>
      <c r="F247" t="inlineStr">
        <is>
          <t>Tapers y Contenedores</t>
        </is>
      </c>
      <c r="G247" s="8" t="n">
        <v>523.8</v>
      </c>
      <c r="H247" s="9" t="n">
        <v>50</v>
      </c>
      <c r="I247" t="n">
        <v>47</v>
      </c>
      <c r="J247" s="10" t="n">
        <v>46176</v>
      </c>
      <c r="K247" s="8" t="n">
        <v>10.47</v>
      </c>
      <c r="L247" s="6" t="inlineStr"/>
      <c r="M247" s="7">
        <f>IF(L247&gt;0,(K247-L247)/K247*100,"")</f>
        <v/>
      </c>
    </row>
    <row r="248">
      <c r="A248" s="2" t="n">
        <v>247</v>
      </c>
      <c r="B248" s="2" t="inlineStr">
        <is>
          <t>ROMA-06CM</t>
        </is>
      </c>
      <c r="C248" s="2" t="inlineStr">
        <is>
          <t>CT Nutribela Colageno 300ml</t>
        </is>
      </c>
      <c r="D248" s="2" t="inlineStr">
        <is>
          <t>Cuidado Personal y Salud</t>
        </is>
      </c>
      <c r="E248" s="2" t="inlineStr">
        <is>
          <t>Cuidado del Cabello</t>
        </is>
      </c>
      <c r="F248" s="2" t="inlineStr">
        <is>
          <t>Acondicionadores</t>
        </is>
      </c>
      <c r="G248" s="3" t="n">
        <v>522</v>
      </c>
      <c r="H248" s="4" t="n">
        <v>36</v>
      </c>
      <c r="I248" s="2" t="n">
        <v>36</v>
      </c>
      <c r="J248" s="5" t="n">
        <v>46172</v>
      </c>
      <c r="K248" s="3" t="n">
        <v>14.5</v>
      </c>
      <c r="L248" s="6" t="inlineStr"/>
      <c r="M248" s="7">
        <f>IF(L248&gt;0,(K248-L248)/K248*100,"")</f>
        <v/>
      </c>
    </row>
    <row r="249">
      <c r="A249" t="n">
        <v>248</v>
      </c>
      <c r="B249" t="inlineStr">
        <is>
          <t>MO-9851</t>
        </is>
      </c>
      <c r="C249" t="inlineStr">
        <is>
          <t>TOMATODO TRIO</t>
        </is>
      </c>
      <c r="D249" t="inlineStr">
        <is>
          <t>Hogar y Decoración</t>
        </is>
      </c>
      <c r="E249" t="inlineStr">
        <is>
          <t>Menaje de Cocina</t>
        </is>
      </c>
      <c r="F249" t="inlineStr">
        <is>
          <t>Tomatodos y Botellas</t>
        </is>
      </c>
      <c r="G249" s="8" t="n">
        <v>521.9299999999999</v>
      </c>
      <c r="H249" s="9" t="n">
        <v>41</v>
      </c>
      <c r="I249" t="n">
        <v>35</v>
      </c>
      <c r="J249" s="10" t="n">
        <v>46100</v>
      </c>
      <c r="K249" s="8" t="n">
        <v>12.83</v>
      </c>
      <c r="L249" s="6" t="inlineStr"/>
      <c r="M249" s="7">
        <f>IF(L249&gt;0,(K249-L249)/K249*100,"")</f>
        <v/>
      </c>
    </row>
    <row r="250">
      <c r="A250" s="2" t="n">
        <v>249</v>
      </c>
      <c r="B250" s="2" t="inlineStr">
        <is>
          <t>75961067288446</t>
        </is>
      </c>
      <c r="C250" s="2" t="inlineStr">
        <is>
          <t>Chocolate Costa Cañonazo Mini 20x12Gr</t>
        </is>
      </c>
      <c r="D250" s="2" t="inlineStr">
        <is>
          <t>Abarrotes</t>
        </is>
      </c>
      <c r="E250" s="2" t="inlineStr">
        <is>
          <t>Dulces y Chocolates</t>
        </is>
      </c>
      <c r="F250" s="2" t="inlineStr">
        <is>
          <t>Chocolates</t>
        </is>
      </c>
      <c r="G250" s="3" t="n">
        <v>521.4</v>
      </c>
      <c r="H250" s="4" t="n">
        <v>66</v>
      </c>
      <c r="I250" s="2" t="n">
        <v>63</v>
      </c>
      <c r="J250" s="5" t="n">
        <v>46143</v>
      </c>
      <c r="K250" s="3" t="n">
        <v>7.9</v>
      </c>
      <c r="L250" s="6" t="inlineStr"/>
      <c r="M250" s="7">
        <f>IF(L250&gt;0,(K250-L250)/K250*100,"")</f>
        <v/>
      </c>
    </row>
    <row r="251">
      <c r="A251" t="n">
        <v>250</v>
      </c>
      <c r="B251" t="inlineStr">
        <is>
          <t>75875160876455</t>
        </is>
      </c>
      <c r="C251" t="inlineStr">
        <is>
          <t>Insecticida Bay-Cin Spray Insectos Rastreros 400 ml</t>
        </is>
      </c>
      <c r="D251" t="inlineStr">
        <is>
          <t>Limpieza</t>
        </is>
      </c>
      <c r="E251" t="inlineStr">
        <is>
          <t>Limpiadores Específicos</t>
        </is>
      </c>
      <c r="F251" t="inlineStr">
        <is>
          <t>Insecticidas</t>
        </is>
      </c>
      <c r="G251" s="8" t="n">
        <v>518.5</v>
      </c>
      <c r="H251" s="9" t="n">
        <v>61</v>
      </c>
      <c r="I251" t="n">
        <v>52</v>
      </c>
      <c r="J251" s="10" t="n">
        <v>46177</v>
      </c>
      <c r="K251" s="8" t="n">
        <v>8.5</v>
      </c>
      <c r="L251" s="6" t="inlineStr"/>
      <c r="M251" s="7">
        <f>IF(L251&gt;0,(K251-L251)/K251*100,"")</f>
        <v/>
      </c>
    </row>
    <row r="252">
      <c r="A252" s="2" t="n">
        <v>251</v>
      </c>
      <c r="B252" s="2" t="inlineStr">
        <is>
          <t>EC91426</t>
        </is>
      </c>
      <c r="C252" s="2" t="inlineStr">
        <is>
          <t>Escobilla con Asa</t>
        </is>
      </c>
      <c r="D252" s="2" t="inlineStr">
        <is>
          <t>Limpieza</t>
        </is>
      </c>
      <c r="E252" s="2" t="inlineStr">
        <is>
          <t>Accesorios de Limpieza</t>
        </is>
      </c>
      <c r="F252" s="2" t="inlineStr">
        <is>
          <t>Escobilla de Ropa</t>
        </is>
      </c>
      <c r="G252" s="3" t="n">
        <v>516.8</v>
      </c>
      <c r="H252" s="4" t="n">
        <v>236</v>
      </c>
      <c r="I252" s="2" t="n">
        <v>182</v>
      </c>
      <c r="J252" s="5" t="n">
        <v>46131</v>
      </c>
      <c r="K252" s="3" t="n">
        <v>2.2</v>
      </c>
      <c r="L252" s="6" t="inlineStr"/>
      <c r="M252" s="7">
        <f>IF(L252&gt;0,(K252-L252)/K252*100,"")</f>
        <v/>
      </c>
    </row>
    <row r="253">
      <c r="A253" t="n">
        <v>252</v>
      </c>
      <c r="B253" t="inlineStr">
        <is>
          <t>HYJH-18</t>
        </is>
      </c>
      <c r="C253" t="inlineStr">
        <is>
          <t>Bonsái de flores artificiales</t>
        </is>
      </c>
      <c r="D253" t="inlineStr">
        <is>
          <t>Hogar y Decoración</t>
        </is>
      </c>
      <c r="E253" t="inlineStr">
        <is>
          <t>Decoración</t>
        </is>
      </c>
      <c r="F253" t="inlineStr">
        <is>
          <t>Flores y Floreros</t>
        </is>
      </c>
      <c r="G253" s="8" t="n">
        <v>515.36</v>
      </c>
      <c r="H253" s="9" t="n">
        <v>60</v>
      </c>
      <c r="I253" t="n">
        <v>34</v>
      </c>
      <c r="J253" s="10" t="n">
        <v>46163</v>
      </c>
      <c r="K253" s="8" t="n">
        <v>8.76</v>
      </c>
      <c r="L253" s="6" t="inlineStr"/>
      <c r="M253" s="7">
        <f>IF(L253&gt;0,(K253-L253)/K253*100,"")</f>
        <v/>
      </c>
    </row>
    <row r="254">
      <c r="A254" s="2" t="n">
        <v>253</v>
      </c>
      <c r="B254" s="2" t="inlineStr">
        <is>
          <t>2609-G</t>
        </is>
      </c>
      <c r="C254" s="2" t="inlineStr">
        <is>
          <t>VASO DE VIDRIO 1.4001 X C</t>
        </is>
      </c>
      <c r="D254" s="2" t="inlineStr">
        <is>
          <t>Hogar y Decoración</t>
        </is>
      </c>
      <c r="E254" s="2" t="inlineStr">
        <is>
          <t>Menaje de Comedor</t>
        </is>
      </c>
      <c r="F254" s="2" t="inlineStr">
        <is>
          <t>Vasos</t>
        </is>
      </c>
      <c r="G254" s="3" t="n">
        <v>510.95</v>
      </c>
      <c r="H254" s="4" t="n">
        <v>216</v>
      </c>
      <c r="I254" s="2" t="n">
        <v>30</v>
      </c>
      <c r="J254" s="5" t="n">
        <v>46154</v>
      </c>
      <c r="K254" s="3" t="n">
        <v>2.48</v>
      </c>
      <c r="L254" s="6" t="inlineStr"/>
      <c r="M254" s="7">
        <f>IF(L254&gt;0,(K254-L254)/K254*100,"")</f>
        <v/>
      </c>
    </row>
    <row r="255">
      <c r="A255" t="n">
        <v>254</v>
      </c>
      <c r="B255" t="inlineStr">
        <is>
          <t>AGS-260</t>
        </is>
      </c>
      <c r="C255" t="inlineStr">
        <is>
          <t>LABIAL TERCIOPELO</t>
        </is>
      </c>
      <c r="D255" t="inlineStr">
        <is>
          <t>Belleza</t>
        </is>
      </c>
      <c r="E255" t="inlineStr">
        <is>
          <t>Maquillaje y Cosméticos</t>
        </is>
      </c>
      <c r="F255" t="inlineStr">
        <is>
          <t>Labial</t>
        </is>
      </c>
      <c r="G255" s="8" t="n">
        <v>507.3</v>
      </c>
      <c r="H255" s="9" t="n">
        <v>57</v>
      </c>
      <c r="I255" t="n">
        <v>55</v>
      </c>
      <c r="J255" s="10" t="n">
        <v>46177</v>
      </c>
      <c r="K255" s="8" t="n">
        <v>8.9</v>
      </c>
      <c r="L255" s="6" t="inlineStr"/>
      <c r="M255" s="7">
        <f>IF(L255&gt;0,(K255-L255)/K255*100,"")</f>
        <v/>
      </c>
    </row>
    <row r="256">
      <c r="A256" s="2" t="n">
        <v>255</v>
      </c>
      <c r="B256" s="2" t="inlineStr">
        <is>
          <t>XJX-9020</t>
        </is>
      </c>
      <c r="C256" s="2" t="inlineStr">
        <is>
          <t>SET ESPONJA X3</t>
        </is>
      </c>
      <c r="D256" s="2" t="inlineStr">
        <is>
          <t>Limpieza</t>
        </is>
      </c>
      <c r="E256" s="2" t="inlineStr">
        <is>
          <t>Accesorios de Limpieza</t>
        </is>
      </c>
      <c r="F256" s="2" t="inlineStr">
        <is>
          <t>Esponjas, Paños y Guantes</t>
        </is>
      </c>
      <c r="G256" s="3" t="n">
        <v>504</v>
      </c>
      <c r="H256" s="4" t="n">
        <v>252</v>
      </c>
      <c r="I256" s="2" t="n">
        <v>232</v>
      </c>
      <c r="J256" s="5" t="n">
        <v>46178</v>
      </c>
      <c r="K256" s="3" t="n">
        <v>2</v>
      </c>
      <c r="L256" s="6" t="inlineStr"/>
      <c r="M256" s="7">
        <f>IF(L256&gt;0,(K256-L256)/K256*100,"")</f>
        <v/>
      </c>
    </row>
    <row r="257">
      <c r="A257" t="n">
        <v>256</v>
      </c>
      <c r="B257" t="inlineStr">
        <is>
          <t>232405</t>
        </is>
      </c>
      <c r="C257" t="inlineStr">
        <is>
          <t>MADISON COLÁGENO 4 EN 1 CREMA FACIAL 50ML</t>
        </is>
      </c>
      <c r="D257" t="inlineStr">
        <is>
          <t>Belleza</t>
        </is>
      </c>
      <c r="E257" t="inlineStr">
        <is>
          <t>Cuidado Facial</t>
        </is>
      </c>
      <c r="F257" t="inlineStr">
        <is>
          <t>Crema Facial</t>
        </is>
      </c>
      <c r="G257" s="8" t="n">
        <v>504</v>
      </c>
      <c r="H257" s="9" t="n">
        <v>51</v>
      </c>
      <c r="I257" t="n">
        <v>50</v>
      </c>
      <c r="J257" s="10" t="n">
        <v>46130</v>
      </c>
      <c r="K257" s="8" t="n">
        <v>9.880000000000001</v>
      </c>
      <c r="L257" s="6" t="inlineStr"/>
      <c r="M257" s="7">
        <f>IF(L257&gt;0,(K257-L257)/K257*100,"")</f>
        <v/>
      </c>
    </row>
    <row r="258">
      <c r="A258" s="2" t="n">
        <v>257</v>
      </c>
      <c r="B258" s="2" t="inlineStr">
        <is>
          <t>AGL-750</t>
        </is>
      </c>
      <c r="C258" s="2" t="inlineStr">
        <is>
          <t>MI COMPLICE LIP GLOSS</t>
        </is>
      </c>
      <c r="D258" s="2" t="inlineStr">
        <is>
          <t>Belleza</t>
        </is>
      </c>
      <c r="E258" s="2" t="inlineStr">
        <is>
          <t>Maquillaje y Cosméticos</t>
        </is>
      </c>
      <c r="F258" s="2" t="inlineStr">
        <is>
          <t>Labial Gloss</t>
        </is>
      </c>
      <c r="G258" s="3" t="n">
        <v>503.5</v>
      </c>
      <c r="H258" s="4" t="n">
        <v>48</v>
      </c>
      <c r="I258" s="2" t="n">
        <v>46</v>
      </c>
      <c r="J258" s="5" t="n">
        <v>46172</v>
      </c>
      <c r="K258" s="3" t="n">
        <v>10.49</v>
      </c>
      <c r="L258" s="6" t="inlineStr"/>
      <c r="M258" s="7">
        <f>IF(L258&gt;0,(K258-L258)/K258*100,"")</f>
        <v/>
      </c>
    </row>
    <row r="259">
      <c r="A259" t="n">
        <v>258</v>
      </c>
      <c r="B259" t="inlineStr">
        <is>
          <t>MS-2265</t>
        </is>
      </c>
      <c r="C259" t="inlineStr">
        <is>
          <t>TOMATODO WINNING SPIRIT 1L</t>
        </is>
      </c>
      <c r="D259" t="inlineStr">
        <is>
          <t>Hogar y Decoración</t>
        </is>
      </c>
      <c r="E259" t="inlineStr">
        <is>
          <t>Menaje de Cocina</t>
        </is>
      </c>
      <c r="F259" t="inlineStr">
        <is>
          <t>Tomatodos y Botellas</t>
        </is>
      </c>
      <c r="G259" s="8" t="n">
        <v>498.13</v>
      </c>
      <c r="H259" s="9" t="n">
        <v>46</v>
      </c>
      <c r="I259" t="n">
        <v>41</v>
      </c>
      <c r="J259" s="10" t="n">
        <v>46102</v>
      </c>
      <c r="K259" s="8" t="n">
        <v>10.87</v>
      </c>
      <c r="L259" s="6" t="inlineStr"/>
      <c r="M259" s="7">
        <f>IF(L259&gt;0,(K259-L259)/K259*100,"")</f>
        <v/>
      </c>
    </row>
    <row r="260">
      <c r="A260" s="2" t="n">
        <v>259</v>
      </c>
      <c r="B260" s="2" t="inlineStr">
        <is>
          <t>2110020108</t>
        </is>
      </c>
      <c r="C260" s="2" t="inlineStr">
        <is>
          <t>MARCADOR LAYCONSA JUMBO L-47 ESTUCHE X 6 COLORES NT</t>
        </is>
      </c>
      <c r="D260" s="2" t="inlineStr">
        <is>
          <t>Librería y Oficina</t>
        </is>
      </c>
      <c r="E260" s="2" t="inlineStr">
        <is>
          <t>Útiles Escolares</t>
        </is>
      </c>
      <c r="F260" s="2" t="inlineStr">
        <is>
          <t>Plumones y Marcadores</t>
        </is>
      </c>
      <c r="G260" s="3" t="n">
        <v>496.8</v>
      </c>
      <c r="H260" s="4" t="n">
        <v>72</v>
      </c>
      <c r="I260" s="2" t="n">
        <v>68</v>
      </c>
      <c r="J260" s="5" t="n">
        <v>46133</v>
      </c>
      <c r="K260" s="3" t="n">
        <v>6.9</v>
      </c>
      <c r="L260" s="6" t="inlineStr"/>
      <c r="M260" s="7">
        <f>IF(L260&gt;0,(K260-L260)/K260*100,"")</f>
        <v/>
      </c>
    </row>
    <row r="261">
      <c r="A261" t="n">
        <v>260</v>
      </c>
      <c r="B261" t="inlineStr">
        <is>
          <t>7750082003712</t>
        </is>
      </c>
      <c r="C261" t="inlineStr">
        <is>
          <t>Limpiatipo Artesco Varios Colores</t>
        </is>
      </c>
      <c r="D261" t="inlineStr">
        <is>
          <t>Librería y Oficina</t>
        </is>
      </c>
      <c r="E261" t="inlineStr">
        <is>
          <t>Útiles Escolares</t>
        </is>
      </c>
      <c r="F261" t="inlineStr">
        <is>
          <t>Colores y Crayolas</t>
        </is>
      </c>
      <c r="G261" s="8" t="n">
        <v>496.21</v>
      </c>
      <c r="H261" s="9" t="n">
        <v>226</v>
      </c>
      <c r="I261" t="n">
        <v>179</v>
      </c>
      <c r="J261" s="10" t="n">
        <v>46131</v>
      </c>
      <c r="K261" s="8" t="n">
        <v>2.2</v>
      </c>
      <c r="L261" s="6" t="inlineStr"/>
      <c r="M261" s="7">
        <f>IF(L261&gt;0,(K261-L261)/K261*100,"")</f>
        <v/>
      </c>
    </row>
    <row r="262">
      <c r="A262" s="2" t="n">
        <v>261</v>
      </c>
      <c r="B262" s="2" t="inlineStr">
        <is>
          <t>GF-3785</t>
        </is>
      </c>
      <c r="C262" s="2" t="inlineStr">
        <is>
          <t>CARTERA</t>
        </is>
      </c>
      <c r="D262" s="2" t="inlineStr">
        <is>
          <t>Accesorios</t>
        </is>
      </c>
      <c r="E262" s="2" t="inlineStr">
        <is>
          <t>Accesorios Mujer</t>
        </is>
      </c>
      <c r="F262" s="2" t="inlineStr">
        <is>
          <t>Carteras</t>
        </is>
      </c>
      <c r="G262" s="3" t="n">
        <v>494.5</v>
      </c>
      <c r="H262" s="4" t="n">
        <v>23</v>
      </c>
      <c r="I262" s="2" t="n">
        <v>22</v>
      </c>
      <c r="J262" s="5" t="n">
        <v>46147</v>
      </c>
      <c r="K262" s="3" t="n">
        <v>21.5</v>
      </c>
      <c r="L262" s="6" t="inlineStr"/>
      <c r="M262" s="7">
        <f>IF(L262&gt;0,(K262-L262)/K262*100,"")</f>
        <v/>
      </c>
    </row>
    <row r="263">
      <c r="A263" t="n">
        <v>262</v>
      </c>
      <c r="B263" t="inlineStr">
        <is>
          <t>76203884753823</t>
        </is>
      </c>
      <c r="C263" t="inlineStr">
        <is>
          <t>CT Nutribela Célula Madre 300ml</t>
        </is>
      </c>
      <c r="D263" t="inlineStr">
        <is>
          <t>Cuidado Personal y Salud</t>
        </is>
      </c>
      <c r="E263" t="inlineStr">
        <is>
          <t>Cuidado del Cabello</t>
        </is>
      </c>
      <c r="F263" t="inlineStr">
        <is>
          <t>Acondicionadores</t>
        </is>
      </c>
      <c r="G263" s="8" t="n">
        <v>493</v>
      </c>
      <c r="H263" s="9" t="n">
        <v>34</v>
      </c>
      <c r="I263" t="n">
        <v>34</v>
      </c>
      <c r="J263" s="10" t="n">
        <v>46171</v>
      </c>
      <c r="K263" s="8" t="n">
        <v>14.5</v>
      </c>
      <c r="L263" s="6" t="inlineStr"/>
      <c r="M263" s="7">
        <f>IF(L263&gt;0,(K263-L263)/K263*100,"")</f>
        <v/>
      </c>
    </row>
    <row r="264">
      <c r="A264" s="2" t="n">
        <v>263</v>
      </c>
      <c r="B264" s="2" t="inlineStr">
        <is>
          <t>76203884725231</t>
        </is>
      </c>
      <c r="C264" s="2" t="inlineStr">
        <is>
          <t>AC Nutribela Colageno 370ML</t>
        </is>
      </c>
      <c r="D264" s="2" t="inlineStr">
        <is>
          <t>Cuidado Personal y Salud</t>
        </is>
      </c>
      <c r="E264" s="2" t="inlineStr">
        <is>
          <t>Cuidado del Cabello</t>
        </is>
      </c>
      <c r="F264" s="2" t="inlineStr">
        <is>
          <t>Acondicionadores</t>
        </is>
      </c>
      <c r="G264" s="3" t="n">
        <v>491.7</v>
      </c>
      <c r="H264" s="4" t="n">
        <v>33</v>
      </c>
      <c r="I264" s="2" t="n">
        <v>33</v>
      </c>
      <c r="J264" s="5" t="n">
        <v>46177</v>
      </c>
      <c r="K264" s="3" t="n">
        <v>14.9</v>
      </c>
      <c r="L264" s="6" t="inlineStr"/>
      <c r="M264" s="7">
        <f>IF(L264&gt;0,(K264-L264)/K264*100,"")</f>
        <v/>
      </c>
    </row>
    <row r="265">
      <c r="A265" t="n">
        <v>264</v>
      </c>
      <c r="B265" t="inlineStr">
        <is>
          <t>PLM-RAZUL</t>
        </is>
      </c>
      <c r="C265" t="inlineStr">
        <is>
          <t>PLUMON ARTESCO PIZARRA RECARGABLE R123 AZUL</t>
        </is>
      </c>
      <c r="D265" t="inlineStr">
        <is>
          <t>Librería y Oficina</t>
        </is>
      </c>
      <c r="E265" t="inlineStr">
        <is>
          <t>Útiles Escolares</t>
        </is>
      </c>
      <c r="F265" t="inlineStr">
        <is>
          <t>Plumones y Marcadores</t>
        </is>
      </c>
      <c r="G265" s="8" t="n">
        <v>491.7</v>
      </c>
      <c r="H265" s="9" t="n">
        <v>116</v>
      </c>
      <c r="I265" t="n">
        <v>96</v>
      </c>
      <c r="J265" s="10" t="n">
        <v>46107</v>
      </c>
      <c r="K265" s="8" t="n">
        <v>4.25</v>
      </c>
      <c r="L265" s="6" t="inlineStr"/>
      <c r="M265" s="7">
        <f>IF(L265&gt;0,(K265-L265)/K265*100,"")</f>
        <v/>
      </c>
    </row>
    <row r="266">
      <c r="A266" s="2" t="n">
        <v>265</v>
      </c>
      <c r="B266" s="2" t="inlineStr">
        <is>
          <t>F3501</t>
        </is>
      </c>
      <c r="C266" s="2" t="inlineStr">
        <is>
          <t>FOCO LED 45W 3 ASPAS</t>
        </is>
      </c>
      <c r="D266" s="2" t="inlineStr">
        <is>
          <t>Mejoramiento del Hogar</t>
        </is>
      </c>
      <c r="E266" s="2" t="inlineStr">
        <is>
          <t>Iluminación</t>
        </is>
      </c>
      <c r="F266" s="2" t="inlineStr">
        <is>
          <t>Luces y Focos</t>
        </is>
      </c>
      <c r="G266" s="3" t="n">
        <v>491.5</v>
      </c>
      <c r="H266" s="4" t="n">
        <v>58</v>
      </c>
      <c r="I266" s="2" t="n">
        <v>37</v>
      </c>
      <c r="J266" s="5" t="n">
        <v>46115</v>
      </c>
      <c r="K266" s="3" t="n">
        <v>8.460000000000001</v>
      </c>
      <c r="L266" s="6" t="inlineStr"/>
      <c r="M266" s="7">
        <f>IF(L266&gt;0,(K266-L266)/K266*100,"")</f>
        <v/>
      </c>
    </row>
    <row r="267">
      <c r="A267" t="n">
        <v>266</v>
      </c>
      <c r="B267" t="inlineStr">
        <is>
          <t>RR0216</t>
        </is>
      </c>
      <c r="C267" t="inlineStr">
        <is>
          <t>GANCHO X12 ROPA NAYRA</t>
        </is>
      </c>
      <c r="D267" t="inlineStr">
        <is>
          <t>Hogar y Decoración</t>
        </is>
      </c>
      <c r="E267" t="inlineStr">
        <is>
          <t>Organización del Hogar</t>
        </is>
      </c>
      <c r="F267" t="inlineStr">
        <is>
          <t>Percheros y Colgadores</t>
        </is>
      </c>
      <c r="G267" s="8" t="n">
        <v>489.2</v>
      </c>
      <c r="H267" s="9" t="n">
        <v>377</v>
      </c>
      <c r="I267" t="n">
        <v>232</v>
      </c>
      <c r="J267" s="10" t="n">
        <v>46178</v>
      </c>
      <c r="K267" s="8" t="n">
        <v>1.3</v>
      </c>
      <c r="L267" s="6" t="inlineStr"/>
      <c r="M267" s="7">
        <f>IF(L267&gt;0,(K267-L267)/K267*100,"")</f>
        <v/>
      </c>
    </row>
    <row r="268">
      <c r="A268" s="2" t="n">
        <v>267</v>
      </c>
      <c r="B268" s="2" t="inlineStr">
        <is>
          <t>B1095</t>
        </is>
      </c>
      <c r="C268" s="2" t="inlineStr">
        <is>
          <t>CUTTER(100XCJA)</t>
        </is>
      </c>
      <c r="D268" s="2" t="inlineStr">
        <is>
          <t>Librería y Oficina</t>
        </is>
      </c>
      <c r="E268" s="2" t="inlineStr">
        <is>
          <t>Útiles Escolares</t>
        </is>
      </c>
      <c r="F268" s="2" t="inlineStr">
        <is>
          <t>Cutters y Navajas</t>
        </is>
      </c>
      <c r="G268" s="3" t="n">
        <v>487.58</v>
      </c>
      <c r="H268" s="4" t="n">
        <v>94</v>
      </c>
      <c r="I268" s="2" t="n">
        <v>80</v>
      </c>
      <c r="J268" s="5" t="n">
        <v>46127</v>
      </c>
      <c r="K268" s="3" t="n">
        <v>5.19</v>
      </c>
      <c r="L268" s="6" t="inlineStr"/>
      <c r="M268" s="7">
        <f>IF(L268&gt;0,(K268-L268)/K268*100,"")</f>
        <v/>
      </c>
    </row>
    <row r="269">
      <c r="A269" t="n">
        <v>268</v>
      </c>
      <c r="B269" t="inlineStr">
        <is>
          <t>76754492911801</t>
        </is>
      </c>
      <c r="C269" t="inlineStr">
        <is>
          <t>FIDEOS PICANTE S/CARNE DE VACUNO 110G</t>
        </is>
      </c>
      <c r="D269" t="inlineStr">
        <is>
          <t>Alimentos y Bebidas Importadas</t>
        </is>
      </c>
      <c r="E269" t="inlineStr">
        <is>
          <t>Sopas y Fideos Instantáneos</t>
        </is>
      </c>
      <c r="F269" t="inlineStr">
        <is>
          <t>Sopas Instantáneas</t>
        </is>
      </c>
      <c r="G269" s="8" t="n">
        <v>484.5</v>
      </c>
      <c r="H269" s="9" t="n">
        <v>57</v>
      </c>
      <c r="I269" t="n">
        <v>53</v>
      </c>
      <c r="J269" s="10" t="n">
        <v>46167</v>
      </c>
      <c r="K269" s="8" t="n">
        <v>8.5</v>
      </c>
      <c r="L269" s="6" t="inlineStr"/>
      <c r="M269" s="7">
        <f>IF(L269&gt;0,(K269-L269)/K269*100,"")</f>
        <v/>
      </c>
    </row>
    <row r="270">
      <c r="A270" s="2" t="n">
        <v>269</v>
      </c>
      <c r="B270" s="2" t="inlineStr">
        <is>
          <t>PP01P</t>
        </is>
      </c>
      <c r="C270" s="2" t="inlineStr">
        <is>
          <t>PERFUME PEQUEÑO VARIADO</t>
        </is>
      </c>
      <c r="D270" s="2" t="inlineStr">
        <is>
          <t>Belleza</t>
        </is>
      </c>
      <c r="E270" s="2" t="inlineStr">
        <is>
          <t>Perfumes y Fragancias</t>
        </is>
      </c>
      <c r="F270" s="2" t="inlineStr">
        <is>
          <t>Perfumes Variados</t>
        </is>
      </c>
      <c r="G270" s="3" t="n">
        <v>483</v>
      </c>
      <c r="H270" s="4" t="n">
        <v>70</v>
      </c>
      <c r="I270" s="2" t="n">
        <v>60</v>
      </c>
      <c r="J270" s="5" t="n">
        <v>46147</v>
      </c>
      <c r="K270" s="3" t="n">
        <v>6.9</v>
      </c>
      <c r="L270" s="6" t="inlineStr"/>
      <c r="M270" s="7">
        <f>IF(L270&gt;0,(K270-L270)/K270*100,"")</f>
        <v/>
      </c>
    </row>
    <row r="271">
      <c r="A271" t="n">
        <v>270</v>
      </c>
      <c r="B271" t="inlineStr">
        <is>
          <t>75875160843906</t>
        </is>
      </c>
      <c r="C271" t="inlineStr">
        <is>
          <t>Detergente Topaz Nueva Fórmula Aroma Limón 1 Kg</t>
        </is>
      </c>
      <c r="D271" t="inlineStr">
        <is>
          <t>Limpieza</t>
        </is>
      </c>
      <c r="E271" t="inlineStr">
        <is>
          <t>Detergentes y Suavizantes</t>
        </is>
      </c>
      <c r="F271" t="inlineStr">
        <is>
          <t>Detergentes en Polvo</t>
        </is>
      </c>
      <c r="G271" s="8" t="n">
        <v>482.4</v>
      </c>
      <c r="H271" s="9" t="n">
        <v>82</v>
      </c>
      <c r="I271" t="n">
        <v>73</v>
      </c>
      <c r="J271" s="10" t="n">
        <v>46178</v>
      </c>
      <c r="K271" s="8" t="n">
        <v>5.88</v>
      </c>
      <c r="L271" s="6" t="inlineStr"/>
      <c r="M271" s="7">
        <f>IF(L271&gt;0,(K271-L271)/K271*100,"")</f>
        <v/>
      </c>
    </row>
    <row r="272">
      <c r="A272" s="2" t="n">
        <v>271</v>
      </c>
      <c r="B272" s="2" t="inlineStr">
        <is>
          <t>13092000</t>
        </is>
      </c>
      <c r="C272" s="2" t="inlineStr">
        <is>
          <t>COLA SINTETICA ARTESCO 8 ONZAS C/DOSIF. (CAJONX72)</t>
        </is>
      </c>
      <c r="D272" s="2" t="inlineStr">
        <is>
          <t>Librería y Oficina</t>
        </is>
      </c>
      <c r="E272" s="2" t="inlineStr">
        <is>
          <t>Útiles Escolares</t>
        </is>
      </c>
      <c r="F272" s="2" t="inlineStr">
        <is>
          <t>Pegamentos y Silicona</t>
        </is>
      </c>
      <c r="G272" s="3" t="n">
        <v>481.3</v>
      </c>
      <c r="H272" s="4" t="n">
        <v>169</v>
      </c>
      <c r="I272" s="2" t="n">
        <v>134</v>
      </c>
      <c r="J272" s="5" t="n">
        <v>46109</v>
      </c>
      <c r="K272" s="3" t="n">
        <v>2.87</v>
      </c>
      <c r="L272" s="6" t="inlineStr"/>
      <c r="M272" s="7">
        <f>IF(L272&gt;0,(K272-L272)/K272*100,"")</f>
        <v/>
      </c>
    </row>
    <row r="273">
      <c r="A273" t="n">
        <v>272</v>
      </c>
      <c r="B273" t="inlineStr">
        <is>
          <t>881944</t>
        </is>
      </c>
      <c r="C273" t="inlineStr">
        <is>
          <t>CUAD ANILL A4 140H DIS T/L HOMB SURCO 004-023080(2CX25)</t>
        </is>
      </c>
      <c r="D273" t="inlineStr">
        <is>
          <t>Librería y Oficina</t>
        </is>
      </c>
      <c r="E273" t="inlineStr">
        <is>
          <t>Útiles Escolares</t>
        </is>
      </c>
      <c r="F273" t="inlineStr">
        <is>
          <t>Cuadernos y Blocks</t>
        </is>
      </c>
      <c r="G273" s="8" t="n">
        <v>478.6</v>
      </c>
      <c r="H273" s="9" t="n">
        <v>42</v>
      </c>
      <c r="I273" t="n">
        <v>39</v>
      </c>
      <c r="J273" s="10" t="n">
        <v>46174</v>
      </c>
      <c r="K273" s="8" t="n">
        <v>11.39</v>
      </c>
      <c r="L273" s="6" t="inlineStr"/>
      <c r="M273" s="7">
        <f>IF(L273&gt;0,(K273-L273)/K273*100,"")</f>
        <v/>
      </c>
    </row>
    <row r="274">
      <c r="A274" s="2" t="n">
        <v>273</v>
      </c>
      <c r="B274" s="2" t="inlineStr">
        <is>
          <t>OT-107</t>
        </is>
      </c>
      <c r="C274" s="2" t="inlineStr">
        <is>
          <t>SET CONDIMENTERO X6</t>
        </is>
      </c>
      <c r="D274" s="2" t="inlineStr">
        <is>
          <t>Hogar y Decoración</t>
        </is>
      </c>
      <c r="E274" s="2" t="inlineStr">
        <is>
          <t>Menaje de Cocina</t>
        </is>
      </c>
      <c r="F274" s="2" t="inlineStr">
        <is>
          <t>Dispensadores y Organizadores de Cocina</t>
        </is>
      </c>
      <c r="G274" s="3" t="n">
        <v>477.6</v>
      </c>
      <c r="H274" s="4" t="n">
        <v>24</v>
      </c>
      <c r="I274" s="2" t="n">
        <v>24</v>
      </c>
      <c r="J274" s="5" t="n">
        <v>46176</v>
      </c>
      <c r="K274" s="3" t="n">
        <v>19.9</v>
      </c>
      <c r="L274" s="6" t="inlineStr"/>
      <c r="M274" s="7">
        <f>IF(L274&gt;0,(K274-L274)/K274*100,"")</f>
        <v/>
      </c>
    </row>
    <row r="275">
      <c r="A275" t="n">
        <v>274</v>
      </c>
      <c r="B275" t="inlineStr">
        <is>
          <t>76203884785331</t>
        </is>
      </c>
      <c r="C275" t="inlineStr">
        <is>
          <t>Jabón Rosas Y Limon Fiesta Citrica</t>
        </is>
      </c>
      <c r="D275" t="inlineStr">
        <is>
          <t>Cuidado Personal y Salud</t>
        </is>
      </c>
      <c r="E275" t="inlineStr">
        <is>
          <t>Higiene Personal</t>
        </is>
      </c>
      <c r="F275" t="inlineStr">
        <is>
          <t>Jabones Corporales</t>
        </is>
      </c>
      <c r="G275" s="8" t="n">
        <v>476</v>
      </c>
      <c r="H275" s="9" t="n">
        <v>136</v>
      </c>
      <c r="I275" t="n">
        <v>122</v>
      </c>
      <c r="J275" s="10" t="n">
        <v>46177</v>
      </c>
      <c r="K275" s="8" t="n">
        <v>3.5</v>
      </c>
      <c r="L275" s="6" t="inlineStr"/>
      <c r="M275" s="7">
        <f>IF(L275&gt;0,(K275-L275)/K275*100,"")</f>
        <v/>
      </c>
    </row>
    <row r="276">
      <c r="A276" s="2" t="n">
        <v>275</v>
      </c>
      <c r="B276" s="2" t="inlineStr">
        <is>
          <t>MER-102</t>
        </is>
      </c>
      <c r="C276" s="2" t="inlineStr">
        <is>
          <t>MASITA DOBLE X7</t>
        </is>
      </c>
      <c r="D276" s="2" t="inlineStr">
        <is>
          <t>Librería y Oficina</t>
        </is>
      </c>
      <c r="E276" s="2" t="inlineStr">
        <is>
          <t>Útiles Escolares</t>
        </is>
      </c>
      <c r="F276" s="2" t="inlineStr">
        <is>
          <t>Plastilinas y Masas</t>
        </is>
      </c>
      <c r="G276" s="3" t="n">
        <v>475.24</v>
      </c>
      <c r="H276" s="4" t="n">
        <v>44</v>
      </c>
      <c r="I276" s="2" t="n">
        <v>41</v>
      </c>
      <c r="J276" s="5" t="n">
        <v>46112</v>
      </c>
      <c r="K276" s="3" t="n">
        <v>10.85</v>
      </c>
      <c r="L276" s="6" t="inlineStr"/>
      <c r="M276" s="7">
        <f>IF(L276&gt;0,(K276-L276)/K276*100,"")</f>
        <v/>
      </c>
    </row>
    <row r="277">
      <c r="A277" t="n">
        <v>276</v>
      </c>
      <c r="B277" t="inlineStr">
        <is>
          <t>75891958859845</t>
        </is>
      </c>
      <c r="C277" t="inlineStr">
        <is>
          <t>Ambientador Sapolio Spray Jardín de Rosas 360ML (PQTX12)</t>
        </is>
      </c>
      <c r="D277" t="inlineStr">
        <is>
          <t>Limpieza</t>
        </is>
      </c>
      <c r="E277" t="inlineStr">
        <is>
          <t>Limpiadores Específicos</t>
        </is>
      </c>
      <c r="F277" t="inlineStr">
        <is>
          <t>Ambientadores</t>
        </is>
      </c>
      <c r="G277" s="8" t="n">
        <v>468</v>
      </c>
      <c r="H277" s="9" t="n">
        <v>72</v>
      </c>
      <c r="I277" t="n">
        <v>71</v>
      </c>
      <c r="J277" s="10" t="n">
        <v>46178</v>
      </c>
      <c r="K277" s="8" t="n">
        <v>6.5</v>
      </c>
      <c r="L277" s="6" t="inlineStr"/>
      <c r="M277" s="7">
        <f>IF(L277&gt;0,(K277-L277)/K277*100,"")</f>
        <v/>
      </c>
    </row>
    <row r="278">
      <c r="A278" s="2" t="n">
        <v>277</v>
      </c>
      <c r="B278" s="2" t="inlineStr">
        <is>
          <t>PRY200114</t>
        </is>
      </c>
      <c r="C278" s="2" t="inlineStr">
        <is>
          <t>P. Higiénico Paracas Doble Hoja azul x4 (PQTX8)</t>
        </is>
      </c>
      <c r="D278" s="2" t="inlineStr">
        <is>
          <t>Cuidado Personal y Salud</t>
        </is>
      </c>
      <c r="E278" s="2" t="inlineStr">
        <is>
          <t>Papel Higiénico y Servilletas</t>
        </is>
      </c>
      <c r="F278" s="2" t="inlineStr">
        <is>
          <t>Papel Higiénico</t>
        </is>
      </c>
      <c r="G278" s="3" t="n">
        <v>468</v>
      </c>
      <c r="H278" s="4" t="n">
        <v>104</v>
      </c>
      <c r="I278" s="2" t="n">
        <v>99</v>
      </c>
      <c r="J278" s="5" t="n">
        <v>46171</v>
      </c>
      <c r="K278" s="3" t="n">
        <v>4.5</v>
      </c>
      <c r="L278" s="6" t="inlineStr"/>
      <c r="M278" s="7">
        <f>IF(L278&gt;0,(K278-L278)/K278*100,"")</f>
        <v/>
      </c>
    </row>
    <row r="279">
      <c r="A279" t="n">
        <v>278</v>
      </c>
      <c r="B279" t="inlineStr">
        <is>
          <t>AGTI-10</t>
        </is>
      </c>
      <c r="C279" t="inlineStr">
        <is>
          <t>CHERRY TINTA JARUSA</t>
        </is>
      </c>
      <c r="D279" t="inlineStr">
        <is>
          <t>Belleza</t>
        </is>
      </c>
      <c r="E279" t="inlineStr">
        <is>
          <t>Maquillaje y Cosméticos</t>
        </is>
      </c>
      <c r="F279" t="inlineStr">
        <is>
          <t>Gloss y Tintas Labiales</t>
        </is>
      </c>
      <c r="G279" s="8" t="n">
        <v>468</v>
      </c>
      <c r="H279" s="9" t="n">
        <v>72</v>
      </c>
      <c r="I279" t="n">
        <v>65</v>
      </c>
      <c r="J279" s="10" t="n">
        <v>46165</v>
      </c>
      <c r="K279" s="8" t="n">
        <v>6.5</v>
      </c>
      <c r="L279" s="6" t="inlineStr"/>
      <c r="M279" s="7">
        <f>IF(L279&gt;0,(K279-L279)/K279*100,"")</f>
        <v/>
      </c>
    </row>
    <row r="280">
      <c r="A280" s="2" t="n">
        <v>279</v>
      </c>
      <c r="B280" s="2" t="inlineStr">
        <is>
          <t>ACK-002</t>
        </is>
      </c>
      <c r="C280" s="2" t="inlineStr">
        <is>
          <t>SET GLOBO X100 #7 (3C X100)</t>
        </is>
      </c>
      <c r="D280" s="2" t="inlineStr">
        <is>
          <t>Fiestas y Cumpleaños</t>
        </is>
      </c>
      <c r="E280" s="2" t="inlineStr">
        <is>
          <t>Cumpleaños</t>
        </is>
      </c>
      <c r="F280" s="2" t="inlineStr">
        <is>
          <t>Globos e Infladores</t>
        </is>
      </c>
      <c r="G280" s="3" t="n">
        <v>467.5</v>
      </c>
      <c r="H280" s="4" t="n">
        <v>85</v>
      </c>
      <c r="I280" s="2" t="n">
        <v>80</v>
      </c>
      <c r="J280" s="5" t="n">
        <v>46173</v>
      </c>
      <c r="K280" s="3" t="n">
        <v>5.5</v>
      </c>
      <c r="L280" s="6" t="inlineStr"/>
      <c r="M280" s="7">
        <f>IF(L280&gt;0,(K280-L280)/K280*100,"")</f>
        <v/>
      </c>
    </row>
    <row r="281">
      <c r="A281" t="n">
        <v>280</v>
      </c>
      <c r="B281" t="inlineStr">
        <is>
          <t>AGL-206</t>
        </is>
      </c>
      <c r="C281" t="inlineStr">
        <is>
          <t>BRILLO MAGICO CHILL LIP OIL</t>
        </is>
      </c>
      <c r="D281" t="inlineStr">
        <is>
          <t>Belleza</t>
        </is>
      </c>
      <c r="E281" t="inlineStr">
        <is>
          <t>Maquillaje y Cosméticos</t>
        </is>
      </c>
      <c r="F281" t="inlineStr">
        <is>
          <t>Labial Gloss</t>
        </is>
      </c>
      <c r="G281" s="8" t="n">
        <v>465</v>
      </c>
      <c r="H281" s="9" t="n">
        <v>62</v>
      </c>
      <c r="I281" t="n">
        <v>58</v>
      </c>
      <c r="J281" s="10" t="n">
        <v>46178</v>
      </c>
      <c r="K281" s="8" t="n">
        <v>7.5</v>
      </c>
      <c r="L281" s="6" t="inlineStr"/>
      <c r="M281" s="7">
        <f>IF(L281&gt;0,(K281-L281)/K281*100,"")</f>
        <v/>
      </c>
    </row>
    <row r="282">
      <c r="A282" s="2" t="n">
        <v>281</v>
      </c>
      <c r="B282" s="2" t="inlineStr">
        <is>
          <t>74943507250492</t>
        </is>
      </c>
      <c r="C282" s="2" t="inlineStr">
        <is>
          <t>MICA ARTESCO OFICIO</t>
        </is>
      </c>
      <c r="D282" s="2" t="inlineStr">
        <is>
          <t>Librería y Oficina</t>
        </is>
      </c>
      <c r="E282" s="2" t="inlineStr">
        <is>
          <t>Útiles Escolares</t>
        </is>
      </c>
      <c r="F282" s="2" t="inlineStr">
        <is>
          <t>Archivadores y Folders</t>
        </is>
      </c>
      <c r="G282" s="3" t="n">
        <v>464.52</v>
      </c>
      <c r="H282" s="4" t="n">
        <v>70</v>
      </c>
      <c r="I282" s="2" t="n">
        <v>62</v>
      </c>
      <c r="J282" s="5" t="n">
        <v>46141</v>
      </c>
      <c r="K282" s="3" t="n">
        <v>6.65</v>
      </c>
      <c r="L282" s="6" t="inlineStr"/>
      <c r="M282" s="7">
        <f>IF(L282&gt;0,(K282-L282)/K282*100,"")</f>
        <v/>
      </c>
    </row>
    <row r="283">
      <c r="A283" t="n">
        <v>282</v>
      </c>
      <c r="B283" t="inlineStr">
        <is>
          <t>232406</t>
        </is>
      </c>
      <c r="C283" t="inlineStr">
        <is>
          <t>MADISON ACLARANTE + FPS CREMA FACIAL 50ML</t>
        </is>
      </c>
      <c r="D283" t="inlineStr">
        <is>
          <t>Belleza</t>
        </is>
      </c>
      <c r="E283" t="inlineStr">
        <is>
          <t>Cuidado Facial</t>
        </is>
      </c>
      <c r="F283" t="inlineStr">
        <is>
          <t>Crema Facial</t>
        </is>
      </c>
      <c r="G283" s="8" t="n">
        <v>464.4</v>
      </c>
      <c r="H283" s="9" t="n">
        <v>47</v>
      </c>
      <c r="I283" t="n">
        <v>47</v>
      </c>
      <c r="J283" s="10" t="n">
        <v>46102</v>
      </c>
      <c r="K283" s="8" t="n">
        <v>9.880000000000001</v>
      </c>
      <c r="L283" s="6" t="inlineStr"/>
      <c r="M283" s="7">
        <f>IF(L283&gt;0,(K283-L283)/K283*100,"")</f>
        <v/>
      </c>
    </row>
    <row r="284">
      <c r="A284" s="2" t="n">
        <v>283</v>
      </c>
      <c r="B284" s="2" t="inlineStr">
        <is>
          <t>VL9056-338</t>
        </is>
      </c>
      <c r="C284" s="2" t="inlineStr">
        <is>
          <t>FRAGANCIA</t>
        </is>
      </c>
      <c r="D284" s="2" t="inlineStr">
        <is>
          <t>Belleza</t>
        </is>
      </c>
      <c r="E284" s="2" t="inlineStr">
        <is>
          <t>Perfumes y Fragancias</t>
        </is>
      </c>
      <c r="F284" s="2" t="inlineStr">
        <is>
          <t>Sets de Perfumes</t>
        </is>
      </c>
      <c r="G284" s="3" t="n">
        <v>464.4</v>
      </c>
      <c r="H284" s="4" t="n">
        <v>36</v>
      </c>
      <c r="I284" s="2" t="n">
        <v>34</v>
      </c>
      <c r="J284" s="5" t="n">
        <v>46136</v>
      </c>
      <c r="K284" s="3" t="n">
        <v>12.9</v>
      </c>
      <c r="L284" s="6" t="inlineStr"/>
      <c r="M284" s="7">
        <f>IF(L284&gt;0,(K284-L284)/K284*100,"")</f>
        <v/>
      </c>
    </row>
    <row r="285">
      <c r="A285" t="n">
        <v>284</v>
      </c>
      <c r="B285" t="inlineStr">
        <is>
          <t>VL9250-8</t>
        </is>
      </c>
      <c r="C285" t="inlineStr">
        <is>
          <t>FRAGANCIA</t>
        </is>
      </c>
      <c r="D285" t="inlineStr">
        <is>
          <t>Belleza</t>
        </is>
      </c>
      <c r="E285" t="inlineStr">
        <is>
          <t>Perfumes y Fragancias</t>
        </is>
      </c>
      <c r="F285" t="inlineStr">
        <is>
          <t>Sets de Perfumes</t>
        </is>
      </c>
      <c r="G285" s="8" t="n">
        <v>464.4</v>
      </c>
      <c r="H285" s="9" t="n">
        <v>36</v>
      </c>
      <c r="I285" t="n">
        <v>36</v>
      </c>
      <c r="J285" s="10" t="n">
        <v>46134</v>
      </c>
      <c r="K285" s="8" t="n">
        <v>12.9</v>
      </c>
      <c r="L285" s="6" t="inlineStr"/>
      <c r="M285" s="7">
        <f>IF(L285&gt;0,(K285-L285)/K285*100,"")</f>
        <v/>
      </c>
    </row>
    <row r="286">
      <c r="A286" s="2" t="n">
        <v>285</v>
      </c>
      <c r="B286" s="2" t="inlineStr">
        <is>
          <t>76203884783448</t>
        </is>
      </c>
      <c r="C286" s="2" t="inlineStr">
        <is>
          <t>CT Nutribela Reparación 300ml</t>
        </is>
      </c>
      <c r="D286" s="2" t="inlineStr">
        <is>
          <t>Cuidado Personal y Salud</t>
        </is>
      </c>
      <c r="E286" s="2" t="inlineStr">
        <is>
          <t>Cuidado del Cabello</t>
        </is>
      </c>
      <c r="F286" s="2" t="inlineStr">
        <is>
          <t>Acondicionadores</t>
        </is>
      </c>
      <c r="G286" s="3" t="n">
        <v>464</v>
      </c>
      <c r="H286" s="4" t="n">
        <v>32</v>
      </c>
      <c r="I286" s="2" t="n">
        <v>31</v>
      </c>
      <c r="J286" s="5" t="n">
        <v>46168</v>
      </c>
      <c r="K286" s="3" t="n">
        <v>14.5</v>
      </c>
      <c r="L286" s="6" t="inlineStr"/>
      <c r="M286" s="7">
        <f>IF(L286&gt;0,(K286-L286)/K286*100,"")</f>
        <v/>
      </c>
    </row>
    <row r="287">
      <c r="A287" t="n">
        <v>286</v>
      </c>
      <c r="B287" t="inlineStr">
        <is>
          <t>CUL195</t>
        </is>
      </c>
      <c r="C287" t="inlineStr">
        <is>
          <t>CUCHILLO</t>
        </is>
      </c>
      <c r="D287" t="inlineStr">
        <is>
          <t>Hogar y Decoración</t>
        </is>
      </c>
      <c r="E287" t="inlineStr">
        <is>
          <t>Menaje de Cocina</t>
        </is>
      </c>
      <c r="F287" t="inlineStr">
        <is>
          <t>Utensilios de Cocina</t>
        </is>
      </c>
      <c r="G287" s="8" t="n">
        <v>463.32</v>
      </c>
      <c r="H287" s="9" t="n">
        <v>120</v>
      </c>
      <c r="I287" t="n">
        <v>102</v>
      </c>
      <c r="J287" s="10" t="n">
        <v>46153</v>
      </c>
      <c r="K287" s="8" t="n">
        <v>3.9</v>
      </c>
      <c r="L287" s="6" t="inlineStr"/>
      <c r="M287" s="7">
        <f>IF(L287&gt;0,(K287-L287)/K287*100,"")</f>
        <v/>
      </c>
    </row>
    <row r="288">
      <c r="A288" s="2" t="n">
        <v>287</v>
      </c>
      <c r="B288" s="2" t="inlineStr">
        <is>
          <t>77410665988038</t>
        </is>
      </c>
      <c r="C288" s="2" t="inlineStr">
        <is>
          <t>Galleta Costa R Frac Vainilla</t>
        </is>
      </c>
      <c r="D288" s="2" t="inlineStr">
        <is>
          <t>Abarrotes</t>
        </is>
      </c>
      <c r="E288" s="2" t="inlineStr">
        <is>
          <t>Dulces y Chocolates</t>
        </is>
      </c>
      <c r="F288" s="2" t="inlineStr">
        <is>
          <t>Galletas</t>
        </is>
      </c>
      <c r="G288" s="3" t="n">
        <v>462</v>
      </c>
      <c r="H288" s="4" t="n">
        <v>84</v>
      </c>
      <c r="I288" s="2" t="n">
        <v>63</v>
      </c>
      <c r="J288" s="5" t="n">
        <v>46160</v>
      </c>
      <c r="K288" s="3" t="n">
        <v>5.5</v>
      </c>
      <c r="L288" s="6" t="inlineStr"/>
      <c r="M288" s="7">
        <f>IF(L288&gt;0,(K288-L288)/K288*100,"")</f>
        <v/>
      </c>
    </row>
    <row r="289">
      <c r="A289" t="n">
        <v>288</v>
      </c>
      <c r="B289" t="inlineStr">
        <is>
          <t>75875160897209</t>
        </is>
      </c>
      <c r="C289" t="inlineStr">
        <is>
          <t>Insecticida Bay-Cin Spray Insectos Voladores 400 ml</t>
        </is>
      </c>
      <c r="D289" t="inlineStr">
        <is>
          <t>Limpieza</t>
        </is>
      </c>
      <c r="E289" t="inlineStr">
        <is>
          <t>Limpiadores Específicos</t>
        </is>
      </c>
      <c r="F289" t="inlineStr">
        <is>
          <t>Insecticidas</t>
        </is>
      </c>
      <c r="G289" s="8" t="n">
        <v>459</v>
      </c>
      <c r="H289" s="9" t="n">
        <v>54</v>
      </c>
      <c r="I289" t="n">
        <v>54</v>
      </c>
      <c r="J289" s="10" t="n">
        <v>46169</v>
      </c>
      <c r="K289" s="8" t="n">
        <v>8.5</v>
      </c>
      <c r="L289" s="6" t="inlineStr"/>
      <c r="M289" s="7">
        <f>IF(L289&gt;0,(K289-L289)/K289*100,"")</f>
        <v/>
      </c>
    </row>
    <row r="290">
      <c r="A290" s="2" t="n">
        <v>289</v>
      </c>
      <c r="B290" s="2" t="inlineStr">
        <is>
          <t>76106757696733</t>
        </is>
      </c>
      <c r="C290" s="2" t="inlineStr">
        <is>
          <t>FID ARROZ (GUOQIAM) INST S/CARNE AGRIA</t>
        </is>
      </c>
      <c r="D290" s="2" t="inlineStr">
        <is>
          <t>Alimentos y Bebidas Importadas</t>
        </is>
      </c>
      <c r="E290" s="2" t="inlineStr">
        <is>
          <t>Sopas y Fideos Instantáneos</t>
        </is>
      </c>
      <c r="F290" s="2" t="inlineStr">
        <is>
          <t>Fideos de Arroz</t>
        </is>
      </c>
      <c r="G290" s="3" t="n">
        <v>459</v>
      </c>
      <c r="H290" s="4" t="n">
        <v>54</v>
      </c>
      <c r="I290" s="2" t="n">
        <v>51</v>
      </c>
      <c r="J290" s="5" t="n">
        <v>46177</v>
      </c>
      <c r="K290" s="3" t="n">
        <v>8.5</v>
      </c>
      <c r="L290" s="6" t="inlineStr"/>
      <c r="M290" s="7">
        <f>IF(L290&gt;0,(K290-L290)/K290*100,"")</f>
        <v/>
      </c>
    </row>
    <row r="291">
      <c r="A291" t="n">
        <v>290</v>
      </c>
      <c r="B291" t="inlineStr">
        <is>
          <t>75866770053811</t>
        </is>
      </c>
      <c r="C291" t="inlineStr">
        <is>
          <t>GALLETAS SABOR CAFE C/LECGE Y FRESA</t>
        </is>
      </c>
      <c r="D291" t="inlineStr">
        <is>
          <t>Alimentos y Bebidas Importadas</t>
        </is>
      </c>
      <c r="E291" t="inlineStr">
        <is>
          <t>Snacks y Dulces Asiáticos</t>
        </is>
      </c>
      <c r="F291" t="inlineStr">
        <is>
          <t>Galletas y Bocaditos Dulces</t>
        </is>
      </c>
      <c r="G291" s="8" t="n">
        <v>457.5</v>
      </c>
      <c r="H291" s="9" t="n">
        <v>61</v>
      </c>
      <c r="I291" t="n">
        <v>58</v>
      </c>
      <c r="J291" s="10" t="n">
        <v>46178</v>
      </c>
      <c r="K291" s="8" t="n">
        <v>7.5</v>
      </c>
      <c r="L291" s="6" t="inlineStr"/>
      <c r="M291" s="7">
        <f>IF(L291&gt;0,(K291-L291)/K291*100,"")</f>
        <v/>
      </c>
    </row>
    <row r="292">
      <c r="A292" s="2" t="n">
        <v>291</v>
      </c>
      <c r="B292" s="2" t="inlineStr">
        <is>
          <t>MEKA-05</t>
        </is>
      </c>
      <c r="C292" s="2" t="inlineStr">
        <is>
          <t>CINTA EMBALAJE 90 X6</t>
        </is>
      </c>
      <c r="D292" s="2" t="inlineStr">
        <is>
          <t>Librería y Oficina</t>
        </is>
      </c>
      <c r="E292" s="2" t="inlineStr">
        <is>
          <t>Útiles Escolares</t>
        </is>
      </c>
      <c r="F292" s="2" t="inlineStr">
        <is>
          <t>Cintas y Contact</t>
        </is>
      </c>
      <c r="G292" s="3" t="n">
        <v>456.62</v>
      </c>
      <c r="H292" s="4" t="n">
        <v>33</v>
      </c>
      <c r="I292" s="2" t="n">
        <v>23</v>
      </c>
      <c r="J292" s="5" t="n">
        <v>46103</v>
      </c>
      <c r="K292" s="3" t="n">
        <v>13.87</v>
      </c>
      <c r="L292" s="6" t="inlineStr"/>
      <c r="M292" s="7">
        <f>IF(L292&gt;0,(K292-L292)/K292*100,"")</f>
        <v/>
      </c>
    </row>
    <row r="293">
      <c r="A293" t="n">
        <v>292</v>
      </c>
      <c r="B293" t="inlineStr">
        <is>
          <t>TW-PR</t>
        </is>
      </c>
      <c r="C293" t="inlineStr">
        <is>
          <t>Plumon Recargable pizarra Acri-Xtreme TR-123 C/Rojo twins</t>
        </is>
      </c>
      <c r="D293" t="inlineStr">
        <is>
          <t>Librería y Oficina</t>
        </is>
      </c>
      <c r="E293" t="inlineStr">
        <is>
          <t>Útiles Escolares</t>
        </is>
      </c>
      <c r="F293" t="inlineStr">
        <is>
          <t>Plumones y Marcadores</t>
        </is>
      </c>
      <c r="G293" s="8" t="n">
        <v>454.6</v>
      </c>
      <c r="H293" s="9" t="n">
        <v>114</v>
      </c>
      <c r="I293" t="n">
        <v>88</v>
      </c>
      <c r="J293" s="10" t="n">
        <v>46167</v>
      </c>
      <c r="K293" s="8" t="n">
        <v>4</v>
      </c>
      <c r="L293" s="6" t="inlineStr"/>
      <c r="M293" s="7">
        <f>IF(L293&gt;0,(K293-L293)/K293*100,"")</f>
        <v/>
      </c>
    </row>
    <row r="294">
      <c r="A294" s="2" t="n">
        <v>293</v>
      </c>
      <c r="B294" s="2" t="inlineStr">
        <is>
          <t>76106757599161</t>
        </is>
      </c>
      <c r="C294" s="2" t="inlineStr">
        <is>
          <t>PAL D/GAL BAñ C/CREMA D/CHOCO BLANCO S</t>
        </is>
      </c>
      <c r="D294" s="2" t="inlineStr">
        <is>
          <t>Alimentos y Bebidas Importadas</t>
        </is>
      </c>
      <c r="E294" s="2" t="inlineStr">
        <is>
          <t>Snacks y Dulces Asiáticos</t>
        </is>
      </c>
      <c r="F294" s="2" t="inlineStr">
        <is>
          <t>Galletas y Bocaditos Dulces</t>
        </is>
      </c>
      <c r="G294" s="3" t="n">
        <v>454.3</v>
      </c>
      <c r="H294" s="4" t="n">
        <v>77</v>
      </c>
      <c r="I294" s="2" t="n">
        <v>75</v>
      </c>
      <c r="J294" s="5" t="n">
        <v>46177</v>
      </c>
      <c r="K294" s="3" t="n">
        <v>5.9</v>
      </c>
      <c r="L294" s="6" t="inlineStr"/>
      <c r="M294" s="7">
        <f>IF(L294&gt;0,(K294-L294)/K294*100,"")</f>
        <v/>
      </c>
    </row>
    <row r="295">
      <c r="A295" t="n">
        <v>294</v>
      </c>
      <c r="B295" t="inlineStr">
        <is>
          <t>LA-280146</t>
        </is>
      </c>
      <c r="C295" t="inlineStr">
        <is>
          <t>SET UTENSILIO</t>
        </is>
      </c>
      <c r="D295" t="inlineStr">
        <is>
          <t>Hogar y Decoración</t>
        </is>
      </c>
      <c r="E295" t="inlineStr">
        <is>
          <t>Menaje de Cocina</t>
        </is>
      </c>
      <c r="F295" t="inlineStr">
        <is>
          <t>Utensilios de Cocina</t>
        </is>
      </c>
      <c r="G295" s="8" t="n">
        <v>450</v>
      </c>
      <c r="H295" s="9" t="n">
        <v>60</v>
      </c>
      <c r="I295" t="n">
        <v>58</v>
      </c>
      <c r="J295" s="10" t="n">
        <v>46150</v>
      </c>
      <c r="K295" s="8" t="n">
        <v>7.5</v>
      </c>
      <c r="L295" s="6" t="inlineStr"/>
      <c r="M295" s="7">
        <f>IF(L295&gt;0,(K295-L295)/K295*100,"")</f>
        <v/>
      </c>
    </row>
    <row r="296">
      <c r="A296" s="2" t="n">
        <v>295</v>
      </c>
      <c r="B296" s="2" t="inlineStr">
        <is>
          <t>14883</t>
        </is>
      </c>
      <c r="C296" s="2" t="inlineStr">
        <is>
          <t>LAPICERO ROJO FABER FORRADO VERDE</t>
        </is>
      </c>
      <c r="D296" s="2" t="inlineStr">
        <is>
          <t>Librería y Oficina</t>
        </is>
      </c>
      <c r="E296" s="2" t="inlineStr">
        <is>
          <t>Útiles Escolares</t>
        </is>
      </c>
      <c r="F296" s="2" t="inlineStr">
        <is>
          <t>Lápices y Lapiceros</t>
        </is>
      </c>
      <c r="G296" s="3" t="n">
        <v>449.93</v>
      </c>
      <c r="H296" s="4" t="n">
        <v>691</v>
      </c>
      <c r="I296" s="2" t="n">
        <v>138</v>
      </c>
      <c r="J296" s="5" t="n">
        <v>46178</v>
      </c>
      <c r="K296" s="3" t="n">
        <v>0.6899999999999999</v>
      </c>
      <c r="L296" s="6" t="inlineStr"/>
      <c r="M296" s="7">
        <f>IF(L296&gt;0,(K296-L296)/K296*100,"")</f>
        <v/>
      </c>
    </row>
    <row r="297">
      <c r="A297" t="n">
        <v>296</v>
      </c>
      <c r="B297" t="inlineStr">
        <is>
          <t>PLM-RNEGRO</t>
        </is>
      </c>
      <c r="C297" t="inlineStr">
        <is>
          <t>PLUMON ARTESCO PIZARRA RECARGABLE R123 NEGRO</t>
        </is>
      </c>
      <c r="D297" t="inlineStr">
        <is>
          <t>Librería y Oficina</t>
        </is>
      </c>
      <c r="E297" t="inlineStr">
        <is>
          <t>Útiles Escolares</t>
        </is>
      </c>
      <c r="F297" t="inlineStr">
        <is>
          <t>Plumones y Marcadores</t>
        </is>
      </c>
      <c r="G297" s="8" t="n">
        <v>448.69</v>
      </c>
      <c r="H297" s="9" t="n">
        <v>107</v>
      </c>
      <c r="I297" t="n">
        <v>88</v>
      </c>
      <c r="J297" s="10" t="n">
        <v>46107</v>
      </c>
      <c r="K297" s="8" t="n">
        <v>4.2</v>
      </c>
      <c r="L297" s="6" t="inlineStr"/>
      <c r="M297" s="7">
        <f>IF(L297&gt;0,(K297-L297)/K297*100,"")</f>
        <v/>
      </c>
    </row>
    <row r="298">
      <c r="A298" s="2" t="n">
        <v>297</v>
      </c>
      <c r="B298" s="2" t="inlineStr">
        <is>
          <t>AR16302018</t>
        </is>
      </c>
      <c r="C298" s="2" t="inlineStr">
        <is>
          <t>TIJERA ARTESCO SMART ESCOLAR 5 (CAJONX288)</t>
        </is>
      </c>
      <c r="D298" s="2" t="inlineStr">
        <is>
          <t>Librería y Oficina</t>
        </is>
      </c>
      <c r="E298" s="2" t="inlineStr">
        <is>
          <t>Útiles Escolares</t>
        </is>
      </c>
      <c r="F298" s="2" t="inlineStr">
        <is>
          <t>Tijeras y Reglas</t>
        </is>
      </c>
      <c r="G298" s="3" t="n">
        <v>448.57</v>
      </c>
      <c r="H298" s="4" t="n">
        <v>348</v>
      </c>
      <c r="I298" s="2" t="n">
        <v>276</v>
      </c>
      <c r="J298" s="5" t="n">
        <v>46123</v>
      </c>
      <c r="K298" s="3" t="n">
        <v>1.3</v>
      </c>
      <c r="L298" s="6" t="inlineStr"/>
      <c r="M298" s="7">
        <f>IF(L298&gt;0,(K298-L298)/K298*100,"")</f>
        <v/>
      </c>
    </row>
    <row r="299">
      <c r="A299" t="n">
        <v>298</v>
      </c>
      <c r="B299" t="inlineStr">
        <is>
          <t>TS-059</t>
        </is>
      </c>
      <c r="C299" t="inlineStr">
        <is>
          <t>JABONERA</t>
        </is>
      </c>
      <c r="D299" t="inlineStr">
        <is>
          <t>Hogar y Decoración</t>
        </is>
      </c>
      <c r="E299" t="inlineStr">
        <is>
          <t>Accesorios para Baño</t>
        </is>
      </c>
      <c r="F299" t="inlineStr">
        <is>
          <t>Accesorios de Baño</t>
        </is>
      </c>
      <c r="G299" s="8" t="n">
        <v>448.5</v>
      </c>
      <c r="H299" s="9" t="n">
        <v>299</v>
      </c>
      <c r="I299" t="n">
        <v>233</v>
      </c>
      <c r="J299" s="10" t="n">
        <v>46114</v>
      </c>
      <c r="K299" s="8" t="n">
        <v>1.5</v>
      </c>
      <c r="L299" s="6" t="inlineStr"/>
      <c r="M299" s="7">
        <f>IF(L299&gt;0,(K299-L299)/K299*100,"")</f>
        <v/>
      </c>
    </row>
    <row r="300">
      <c r="A300" s="2" t="n">
        <v>299</v>
      </c>
      <c r="B300" s="2" t="inlineStr">
        <is>
          <t>MEKA-06</t>
        </is>
      </c>
      <c r="C300" s="2" t="inlineStr">
        <is>
          <t>CINTA EMBALAJE 100 X6</t>
        </is>
      </c>
      <c r="D300" s="2" t="inlineStr">
        <is>
          <t>Librería y Oficina</t>
        </is>
      </c>
      <c r="E300" s="2" t="inlineStr">
        <is>
          <t>Útiles Escolares</t>
        </is>
      </c>
      <c r="F300" s="2" t="inlineStr">
        <is>
          <t>Cintas y Contact</t>
        </is>
      </c>
      <c r="G300" s="3" t="n">
        <v>446.88</v>
      </c>
      <c r="H300" s="4" t="n">
        <v>30</v>
      </c>
      <c r="I300" s="2" t="n">
        <v>20</v>
      </c>
      <c r="J300" s="5" t="n">
        <v>46100</v>
      </c>
      <c r="K300" s="3" t="n">
        <v>15.12</v>
      </c>
      <c r="L300" s="6" t="inlineStr"/>
      <c r="M300" s="7">
        <f>IF(L300&gt;0,(K300-L300)/K300*100,"")</f>
        <v/>
      </c>
    </row>
    <row r="301">
      <c r="A301" t="n">
        <v>300</v>
      </c>
      <c r="B301" t="inlineStr">
        <is>
          <t>ROMA-16CM</t>
        </is>
      </c>
      <c r="C301" t="inlineStr">
        <is>
          <t>Gomitas Ambrossoli Ambrosito 90gr</t>
        </is>
      </c>
      <c r="D301" t="inlineStr">
        <is>
          <t>Abarrotes</t>
        </is>
      </c>
      <c r="E301" t="inlineStr">
        <is>
          <t>Dulces y Chocolates</t>
        </is>
      </c>
      <c r="F301" t="inlineStr">
        <is>
          <t>Gomitas</t>
        </is>
      </c>
      <c r="G301" s="8" t="n">
        <v>445</v>
      </c>
      <c r="H301" s="9" t="n">
        <v>178</v>
      </c>
      <c r="I301" t="n">
        <v>174</v>
      </c>
      <c r="J301" s="10" t="n">
        <v>46177</v>
      </c>
      <c r="K301" s="8" t="n">
        <v>2.5</v>
      </c>
      <c r="L301" s="6" t="inlineStr"/>
      <c r="M301" s="7">
        <f>IF(L301&gt;0,(K301-L301)/K301*100,"")</f>
        <v/>
      </c>
    </row>
    <row r="302">
      <c r="A302" s="2" t="n">
        <v>301</v>
      </c>
      <c r="B302" s="2" t="inlineStr">
        <is>
          <t>76203884600559</t>
        </is>
      </c>
      <c r="C302" s="2" t="inlineStr">
        <is>
          <t>Chocolate costa Vizzio Gragea Almendra 10x19.2</t>
        </is>
      </c>
      <c r="D302" s="2" t="inlineStr">
        <is>
          <t>Abarrotes</t>
        </is>
      </c>
      <c r="E302" s="2" t="inlineStr">
        <is>
          <t>Dulces y Chocolates</t>
        </is>
      </c>
      <c r="F302" s="2" t="inlineStr">
        <is>
          <t>Chocolates</t>
        </is>
      </c>
      <c r="G302" s="3" t="n">
        <v>444</v>
      </c>
      <c r="H302" s="4" t="n">
        <v>30</v>
      </c>
      <c r="I302" s="2" t="n">
        <v>29</v>
      </c>
      <c r="J302" s="5" t="n">
        <v>46176</v>
      </c>
      <c r="K302" s="3" t="n">
        <v>14.8</v>
      </c>
      <c r="L302" s="6" t="inlineStr"/>
      <c r="M302" s="7">
        <f>IF(L302&gt;0,(K302-L302)/K302*100,"")</f>
        <v/>
      </c>
    </row>
    <row r="303">
      <c r="A303" t="n">
        <v>302</v>
      </c>
      <c r="B303" t="inlineStr">
        <is>
          <t>JD-20</t>
        </is>
      </c>
      <c r="C303" t="inlineStr">
        <is>
          <t>cinta scotch con dispensador</t>
        </is>
      </c>
      <c r="D303" t="inlineStr">
        <is>
          <t>Librería y Oficina</t>
        </is>
      </c>
      <c r="E303" t="inlineStr">
        <is>
          <t>Útiles Escolares</t>
        </is>
      </c>
      <c r="F303" t="inlineStr">
        <is>
          <t>Cintas y Contact</t>
        </is>
      </c>
      <c r="G303" s="8" t="n">
        <v>442.51</v>
      </c>
      <c r="H303" s="9" t="n">
        <v>233</v>
      </c>
      <c r="I303" t="n">
        <v>221</v>
      </c>
      <c r="J303" s="10" t="n">
        <v>46102</v>
      </c>
      <c r="K303" s="8" t="n">
        <v>1.9</v>
      </c>
      <c r="L303" s="6" t="inlineStr"/>
      <c r="M303" s="7">
        <f>IF(L303&gt;0,(K303-L303)/K303*100,"")</f>
        <v/>
      </c>
    </row>
    <row r="304">
      <c r="A304" s="2" t="n">
        <v>303</v>
      </c>
      <c r="B304" s="2" t="inlineStr">
        <is>
          <t>21402</t>
        </is>
      </c>
      <c r="C304" s="2" t="inlineStr">
        <is>
          <t>AQUA ALOE VERA JABÓN DE GLICERINA 100G</t>
        </is>
      </c>
      <c r="D304" s="2" t="inlineStr">
        <is>
          <t>Cuidado Personal y Salud</t>
        </is>
      </c>
      <c r="E304" s="2" t="inlineStr">
        <is>
          <t>Higiene Personal</t>
        </is>
      </c>
      <c r="F304" s="2" t="inlineStr">
        <is>
          <t>Jabones Corporales</t>
        </is>
      </c>
      <c r="G304" s="3" t="n">
        <v>442.5</v>
      </c>
      <c r="H304" s="4" t="n">
        <v>177</v>
      </c>
      <c r="I304" s="2" t="n">
        <v>156</v>
      </c>
      <c r="J304" s="5" t="n">
        <v>46178</v>
      </c>
      <c r="K304" s="3" t="n">
        <v>2.5</v>
      </c>
      <c r="L304" s="6" t="inlineStr"/>
      <c r="M304" s="7">
        <f>IF(L304&gt;0,(K304-L304)/K304*100,"")</f>
        <v/>
      </c>
    </row>
    <row r="305">
      <c r="A305" t="n">
        <v>304</v>
      </c>
      <c r="B305" t="inlineStr">
        <is>
          <t>76754492978658</t>
        </is>
      </c>
      <c r="C305" t="inlineStr">
        <is>
          <t>Marshmallow Relleno Sabor Arandano Hsufu</t>
        </is>
      </c>
      <c r="D305" t="inlineStr">
        <is>
          <t>Alimentos y Bebidas Importadas</t>
        </is>
      </c>
      <c r="E305" t="inlineStr">
        <is>
          <t>Snacks y Dulces Asiáticos</t>
        </is>
      </c>
      <c r="F305" t="inlineStr">
        <is>
          <t>Malvaviscos (Marshmallows)</t>
        </is>
      </c>
      <c r="G305" s="8" t="n">
        <v>442.5</v>
      </c>
      <c r="H305" s="9" t="n">
        <v>75</v>
      </c>
      <c r="I305" t="n">
        <v>75</v>
      </c>
      <c r="J305" s="10" t="n">
        <v>46178</v>
      </c>
      <c r="K305" s="8" t="n">
        <v>5.9</v>
      </c>
      <c r="L305" s="6" t="inlineStr"/>
      <c r="M305" s="7">
        <f>IF(L305&gt;0,(K305-L305)/K305*100,"")</f>
        <v/>
      </c>
    </row>
    <row r="306">
      <c r="A306" s="2" t="n">
        <v>305</v>
      </c>
      <c r="B306" s="2" t="inlineStr">
        <is>
          <t>AGR-112</t>
        </is>
      </c>
      <c r="C306" s="2" t="inlineStr">
        <is>
          <t>RIMEL MAGNIFIC</t>
        </is>
      </c>
      <c r="D306" s="2" t="inlineStr">
        <is>
          <t>Belleza</t>
        </is>
      </c>
      <c r="E306" s="2" t="inlineStr">
        <is>
          <t>Maquillaje y Cosméticos</t>
        </is>
      </c>
      <c r="F306" s="2" t="inlineStr">
        <is>
          <t>Mascara Pestañas</t>
        </is>
      </c>
      <c r="G306" s="3" t="n">
        <v>442.5</v>
      </c>
      <c r="H306" s="4" t="n">
        <v>75</v>
      </c>
      <c r="I306" s="2" t="n">
        <v>71</v>
      </c>
      <c r="J306" s="5" t="n">
        <v>46166</v>
      </c>
      <c r="K306" s="3" t="n">
        <v>5.9</v>
      </c>
      <c r="L306" s="6" t="inlineStr"/>
      <c r="M306" s="7">
        <f>IF(L306&gt;0,(K306-L306)/K306*100,"")</f>
        <v/>
      </c>
    </row>
    <row r="307">
      <c r="A307" t="n">
        <v>306</v>
      </c>
      <c r="B307" t="inlineStr">
        <is>
          <t>75755617675315</t>
        </is>
      </c>
      <c r="C307" t="inlineStr">
        <is>
          <t>Pall D/Gal Bañ c/Crema DE CHOC BL S/A</t>
        </is>
      </c>
      <c r="D307" t="inlineStr">
        <is>
          <t>Alimentos y Bebidas Importadas</t>
        </is>
      </c>
      <c r="E307" t="inlineStr">
        <is>
          <t>Snacks y Dulces Asiáticos</t>
        </is>
      </c>
      <c r="F307" t="inlineStr">
        <is>
          <t>Galletas y Bocaditos Dulces</t>
        </is>
      </c>
      <c r="G307" s="8" t="n">
        <v>442.5</v>
      </c>
      <c r="H307" s="9" t="n">
        <v>75</v>
      </c>
      <c r="I307" t="n">
        <v>71</v>
      </c>
      <c r="J307" s="10" t="n">
        <v>46177</v>
      </c>
      <c r="K307" s="8" t="n">
        <v>5.9</v>
      </c>
      <c r="L307" s="6" t="inlineStr"/>
      <c r="M307" s="7">
        <f>IF(L307&gt;0,(K307-L307)/K307*100,"")</f>
        <v/>
      </c>
    </row>
    <row r="308">
      <c r="A308" s="2" t="n">
        <v>307</v>
      </c>
      <c r="B308" s="2" t="inlineStr">
        <is>
          <t>CC-956</t>
        </is>
      </c>
      <c r="C308" s="2" t="inlineStr">
        <is>
          <t>TAPER + TOMADOTO</t>
        </is>
      </c>
      <c r="D308" s="2" t="inlineStr">
        <is>
          <t>Hogar y Decoración</t>
        </is>
      </c>
      <c r="E308" s="2" t="inlineStr">
        <is>
          <t>Menaje de Cocina</t>
        </is>
      </c>
      <c r="F308" s="2" t="inlineStr">
        <is>
          <t>Tapers y Contenedores</t>
        </is>
      </c>
      <c r="G308" s="3" t="n">
        <v>440.9</v>
      </c>
      <c r="H308" s="4" t="n">
        <v>41</v>
      </c>
      <c r="I308" s="2" t="n">
        <v>33</v>
      </c>
      <c r="J308" s="5" t="n">
        <v>46095</v>
      </c>
      <c r="K308" s="3" t="n">
        <v>10.87</v>
      </c>
      <c r="L308" s="6" t="inlineStr"/>
      <c r="M308" s="7">
        <f>IF(L308&gt;0,(K308-L308)/K308*100,"")</f>
        <v/>
      </c>
    </row>
    <row r="309">
      <c r="A309" t="n">
        <v>308</v>
      </c>
      <c r="B309" t="inlineStr">
        <is>
          <t>77410656603060</t>
        </is>
      </c>
      <c r="C309" t="inlineStr">
        <is>
          <t>Barra de Cereal Costa CerealBar Mini Mix 25x11Gr. (CJAX8)</t>
        </is>
      </c>
      <c r="D309" t="inlineStr">
        <is>
          <t>Abarrotes</t>
        </is>
      </c>
      <c r="E309" t="inlineStr">
        <is>
          <t>Dulces y Chocolates</t>
        </is>
      </c>
      <c r="F309" t="inlineStr">
        <is>
          <t>Barras de Cereal</t>
        </is>
      </c>
      <c r="G309" s="8" t="n">
        <v>436</v>
      </c>
      <c r="H309" s="9" t="n">
        <v>40</v>
      </c>
      <c r="I309" t="n">
        <v>39</v>
      </c>
      <c r="J309" s="10" t="n">
        <v>46137</v>
      </c>
      <c r="K309" s="8" t="n">
        <v>10.9</v>
      </c>
      <c r="L309" s="6" t="inlineStr"/>
      <c r="M309" s="7">
        <f>IF(L309&gt;0,(K309-L309)/K309*100,"")</f>
        <v/>
      </c>
    </row>
    <row r="310">
      <c r="A310" s="2" t="n">
        <v>309</v>
      </c>
      <c r="B310" s="2" t="inlineStr">
        <is>
          <t>290145</t>
        </is>
      </c>
      <c r="C310" s="2" t="inlineStr">
        <is>
          <t>Set de Tapers de Acero</t>
        </is>
      </c>
      <c r="D310" s="2" t="inlineStr">
        <is>
          <t>Hogar y Decoración</t>
        </is>
      </c>
      <c r="E310" s="2" t="inlineStr">
        <is>
          <t>Menaje de Cocina</t>
        </is>
      </c>
      <c r="F310" s="2" t="inlineStr">
        <is>
          <t>Tapers y Contenedores</t>
        </is>
      </c>
      <c r="G310" s="3" t="n">
        <v>435.6</v>
      </c>
      <c r="H310" s="4" t="n">
        <v>44</v>
      </c>
      <c r="I310" s="2" t="n">
        <v>38</v>
      </c>
      <c r="J310" s="5" t="n">
        <v>46130</v>
      </c>
      <c r="K310" s="3" t="n">
        <v>9.9</v>
      </c>
      <c r="L310" s="6" t="inlineStr"/>
      <c r="M310" s="7">
        <f>IF(L310&gt;0,(K310-L310)/K310*100,"")</f>
        <v/>
      </c>
    </row>
    <row r="311">
      <c r="A311" t="n">
        <v>310</v>
      </c>
      <c r="B311" t="inlineStr">
        <is>
          <t>75866770075130</t>
        </is>
      </c>
      <c r="C311" t="inlineStr">
        <is>
          <t>FIDEOS SABOR DE MARISCOS</t>
        </is>
      </c>
      <c r="D311" t="inlineStr">
        <is>
          <t>Alimentos y Bebidas Importadas</t>
        </is>
      </c>
      <c r="E311" t="inlineStr">
        <is>
          <t>Sopas y Fideos Instantáneos</t>
        </is>
      </c>
      <c r="F311" t="inlineStr">
        <is>
          <t>Fideos de Trigo (Ramen)</t>
        </is>
      </c>
      <c r="G311" s="8" t="n">
        <v>433.5</v>
      </c>
      <c r="H311" s="9" t="n">
        <v>51</v>
      </c>
      <c r="I311" t="n">
        <v>49</v>
      </c>
      <c r="J311" s="10" t="n">
        <v>46176</v>
      </c>
      <c r="K311" s="8" t="n">
        <v>8.5</v>
      </c>
      <c r="L311" s="6" t="inlineStr"/>
      <c r="M311" s="7">
        <f>IF(L311&gt;0,(K311-L311)/K311*100,"")</f>
        <v/>
      </c>
    </row>
    <row r="312">
      <c r="A312" s="2" t="n">
        <v>311</v>
      </c>
      <c r="B312" s="2" t="inlineStr">
        <is>
          <t>21408</t>
        </is>
      </c>
      <c r="C312" s="2" t="inlineStr">
        <is>
          <t>AQUA AVENA JABÓN DE GLICERINA 100G</t>
        </is>
      </c>
      <c r="D312" s="2" t="inlineStr">
        <is>
          <t>Cuidado Personal y Salud</t>
        </is>
      </c>
      <c r="E312" s="2" t="inlineStr">
        <is>
          <t>Higiene Personal</t>
        </is>
      </c>
      <c r="F312" s="2" t="inlineStr">
        <is>
          <t>Jabones Corporales</t>
        </is>
      </c>
      <c r="G312" s="3" t="n">
        <v>432.5</v>
      </c>
      <c r="H312" s="4" t="n">
        <v>173</v>
      </c>
      <c r="I312" s="2" t="n">
        <v>156</v>
      </c>
      <c r="J312" s="5" t="n">
        <v>46128</v>
      </c>
      <c r="K312" s="3" t="n">
        <v>2.5</v>
      </c>
      <c r="L312" s="6" t="inlineStr"/>
      <c r="M312" s="7">
        <f>IF(L312&gt;0,(K312-L312)/K312*100,"")</f>
        <v/>
      </c>
    </row>
    <row r="313">
      <c r="A313" t="n">
        <v>312</v>
      </c>
      <c r="B313" t="inlineStr">
        <is>
          <t>75875160677139</t>
        </is>
      </c>
      <c r="C313" t="inlineStr">
        <is>
          <t>AC Nutribela Celula madre 370ml ACONDICIONADOR</t>
        </is>
      </c>
      <c r="D313" t="inlineStr">
        <is>
          <t>Cuidado Personal y Salud</t>
        </is>
      </c>
      <c r="E313" t="inlineStr">
        <is>
          <t>Cuidado del Cabello</t>
        </is>
      </c>
      <c r="F313" t="inlineStr">
        <is>
          <t>Acondicionadores</t>
        </is>
      </c>
      <c r="G313" s="8" t="n">
        <v>432.1</v>
      </c>
      <c r="H313" s="9" t="n">
        <v>29</v>
      </c>
      <c r="I313" t="n">
        <v>24</v>
      </c>
      <c r="J313" s="10" t="n">
        <v>46175</v>
      </c>
      <c r="K313" s="8" t="n">
        <v>14.9</v>
      </c>
      <c r="L313" s="6" t="inlineStr"/>
      <c r="M313" s="7">
        <f>IF(L313&gt;0,(K313-L313)/K313*100,"")</f>
        <v/>
      </c>
    </row>
    <row r="314">
      <c r="A314" s="2" t="n">
        <v>313</v>
      </c>
      <c r="B314" s="2" t="inlineStr">
        <is>
          <t>76101063331436</t>
        </is>
      </c>
      <c r="C314" s="2" t="inlineStr">
        <is>
          <t>CHOCOLOTE COSTA VIZZIO ALMENDRA 96°</t>
        </is>
      </c>
      <c r="D314" s="2" t="inlineStr">
        <is>
          <t>Abarrotes</t>
        </is>
      </c>
      <c r="E314" s="2" t="inlineStr">
        <is>
          <t>Dulces y Chocolates</t>
        </is>
      </c>
      <c r="F314" s="2" t="inlineStr">
        <is>
          <t>Chocolates</t>
        </is>
      </c>
      <c r="G314" s="3" t="n">
        <v>432</v>
      </c>
      <c r="H314" s="4" t="n">
        <v>60</v>
      </c>
      <c r="I314" s="2" t="n">
        <v>56</v>
      </c>
      <c r="J314" s="5" t="n">
        <v>46178</v>
      </c>
      <c r="K314" s="3" t="n">
        <v>7.2</v>
      </c>
      <c r="L314" s="6" t="inlineStr"/>
      <c r="M314" s="7">
        <f>IF(L314&gt;0,(K314-L314)/K314*100,"")</f>
        <v/>
      </c>
    </row>
    <row r="315">
      <c r="A315" t="n">
        <v>314</v>
      </c>
      <c r="B315" t="inlineStr">
        <is>
          <t>RR0462</t>
        </is>
      </c>
      <c r="C315" t="inlineStr">
        <is>
          <t>PAPEL CREPE X10</t>
        </is>
      </c>
      <c r="D315" t="inlineStr">
        <is>
          <t>Librería y Oficina</t>
        </is>
      </c>
      <c r="E315" t="inlineStr">
        <is>
          <t>Útiles Escolares</t>
        </is>
      </c>
      <c r="F315" t="inlineStr">
        <is>
          <t>Papeles y Cartulinas</t>
        </is>
      </c>
      <c r="G315" s="8" t="n">
        <v>431.2</v>
      </c>
      <c r="H315" s="9" t="n">
        <v>79</v>
      </c>
      <c r="I315" t="n">
        <v>73</v>
      </c>
      <c r="J315" s="10" t="n">
        <v>46109</v>
      </c>
      <c r="K315" s="8" t="n">
        <v>5.48</v>
      </c>
      <c r="L315" s="6" t="inlineStr"/>
      <c r="M315" s="7">
        <f>IF(L315&gt;0,(K315-L315)/K315*100,"")</f>
        <v/>
      </c>
    </row>
    <row r="316">
      <c r="A316" s="2" t="n">
        <v>315</v>
      </c>
      <c r="B316" s="2" t="inlineStr">
        <is>
          <t>MER-1456</t>
        </is>
      </c>
      <c r="C316" s="2" t="inlineStr">
        <is>
          <t>SET LAPICERO ESCARCHADO X36</t>
        </is>
      </c>
      <c r="D316" s="2" t="inlineStr">
        <is>
          <t>Librería y Oficina</t>
        </is>
      </c>
      <c r="E316" s="2" t="inlineStr">
        <is>
          <t>Útiles Escolares</t>
        </is>
      </c>
      <c r="F316" s="2" t="inlineStr">
        <is>
          <t>Lápices y Lapiceros</t>
        </is>
      </c>
      <c r="G316" s="3" t="n">
        <v>430.9</v>
      </c>
      <c r="H316" s="4" t="n">
        <v>31</v>
      </c>
      <c r="I316" s="2" t="n">
        <v>28</v>
      </c>
      <c r="J316" s="5" t="n">
        <v>46102</v>
      </c>
      <c r="K316" s="3" t="n">
        <v>13.9</v>
      </c>
      <c r="L316" s="6" t="inlineStr"/>
      <c r="M316" s="7">
        <f>IF(L316&gt;0,(K316-L316)/K316*100,"")</f>
        <v/>
      </c>
    </row>
    <row r="317">
      <c r="A317" t="n">
        <v>316</v>
      </c>
      <c r="B317" t="inlineStr">
        <is>
          <t>77240956680454</t>
        </is>
      </c>
      <c r="C317" t="inlineStr">
        <is>
          <t>Detergente Aladino Aroma Floral 1Kg</t>
        </is>
      </c>
      <c r="D317" t="inlineStr">
        <is>
          <t>Limpieza</t>
        </is>
      </c>
      <c r="E317" t="inlineStr">
        <is>
          <t>Detergentes y Suavizantes</t>
        </is>
      </c>
      <c r="F317" t="inlineStr">
        <is>
          <t>Detergentes en Polvo</t>
        </is>
      </c>
      <c r="G317" s="8" t="n">
        <v>430.7</v>
      </c>
      <c r="H317" s="9" t="n">
        <v>73</v>
      </c>
      <c r="I317" t="n">
        <v>72</v>
      </c>
      <c r="J317" s="10" t="n">
        <v>46156</v>
      </c>
      <c r="K317" s="8" t="n">
        <v>5.9</v>
      </c>
      <c r="L317" s="6" t="inlineStr"/>
      <c r="M317" s="7">
        <f>IF(L317&gt;0,(K317-L317)/K317*100,"")</f>
        <v/>
      </c>
    </row>
    <row r="318">
      <c r="A318" s="2" t="n">
        <v>317</v>
      </c>
      <c r="B318" s="2" t="inlineStr">
        <is>
          <t>101605</t>
        </is>
      </c>
      <c r="C318" s="2" t="inlineStr">
        <is>
          <t>PLATO PERRO X 160 PZS</t>
        </is>
      </c>
      <c r="D318" s="2" t="inlineStr">
        <is>
          <t>Mascotas</t>
        </is>
      </c>
      <c r="E318" s="2" t="inlineStr">
        <is>
          <t>Accesorios para Mascotas</t>
        </is>
      </c>
      <c r="F318" s="2" t="inlineStr">
        <is>
          <t>Platos y bebederos para perros</t>
        </is>
      </c>
      <c r="G318" s="3" t="n">
        <v>429.3</v>
      </c>
      <c r="H318" s="4" t="n">
        <v>159</v>
      </c>
      <c r="I318" s="2" t="n">
        <v>96</v>
      </c>
      <c r="J318" s="5" t="n">
        <v>46132</v>
      </c>
      <c r="K318" s="3" t="n">
        <v>2.7</v>
      </c>
      <c r="L318" s="6" t="inlineStr"/>
      <c r="M318" s="7">
        <f>IF(L318&gt;0,(K318-L318)/K318*100,"")</f>
        <v/>
      </c>
    </row>
    <row r="319">
      <c r="A319" t="n">
        <v>318</v>
      </c>
      <c r="B319" t="inlineStr">
        <is>
          <t>LIMK-004</t>
        </is>
      </c>
      <c r="C319" t="inlineStr">
        <is>
          <t>LAVAVAJILLAS LIQUIDO ANTIBACTERIAL PET GALON CHEMI</t>
        </is>
      </c>
      <c r="D319" t="inlineStr">
        <is>
          <t>Limpieza</t>
        </is>
      </c>
      <c r="E319" t="inlineStr">
        <is>
          <t>Lavavajillas</t>
        </is>
      </c>
      <c r="F319" t="inlineStr">
        <is>
          <t>Lavavajillas Líquido</t>
        </is>
      </c>
      <c r="G319" s="8" t="n">
        <v>429</v>
      </c>
      <c r="H319" s="9" t="n">
        <v>26</v>
      </c>
      <c r="I319" t="n">
        <v>26</v>
      </c>
      <c r="J319" s="10" t="n">
        <v>46125</v>
      </c>
      <c r="K319" s="8" t="n">
        <v>16.5</v>
      </c>
      <c r="L319" s="6" t="inlineStr"/>
      <c r="M319" s="7">
        <f>IF(L319&gt;0,(K319-L319)/K319*100,"")</f>
        <v/>
      </c>
    </row>
    <row r="320">
      <c r="A320" s="2" t="n">
        <v>319</v>
      </c>
      <c r="B320" s="2" t="inlineStr">
        <is>
          <t>75755617539928</t>
        </is>
      </c>
      <c r="C320" s="2" t="inlineStr">
        <is>
          <t>Bebida Bubble Milk Tea Con Azucar Rubia</t>
        </is>
      </c>
      <c r="D320" s="2" t="inlineStr">
        <is>
          <t>Alimentos y Bebidas Importadas</t>
        </is>
      </c>
      <c r="E320" s="2" t="inlineStr">
        <is>
          <t>Bebidas Asiáticas</t>
        </is>
      </c>
      <c r="F320" s="2" t="inlineStr">
        <is>
          <t>Bubble Tea (Boba)</t>
        </is>
      </c>
      <c r="G320" s="3" t="n">
        <v>427.2</v>
      </c>
      <c r="H320" s="4" t="n">
        <v>48</v>
      </c>
      <c r="I320" s="2" t="n">
        <v>48</v>
      </c>
      <c r="J320" s="5" t="n">
        <v>46158</v>
      </c>
      <c r="K320" s="3" t="n">
        <v>8.9</v>
      </c>
      <c r="L320" s="6" t="inlineStr"/>
      <c r="M320" s="7">
        <f>IF(L320&gt;0,(K320-L320)/K320*100,"")</f>
        <v/>
      </c>
    </row>
    <row r="321">
      <c r="A321" t="n">
        <v>320</v>
      </c>
      <c r="B321" t="inlineStr">
        <is>
          <t>2110030009</t>
        </is>
      </c>
      <c r="C321" t="inlineStr">
        <is>
          <t>PINTURA PARA DEDOS LAYCONSA PUPPY SET X 6</t>
        </is>
      </c>
      <c r="D321" t="inlineStr">
        <is>
          <t>Librería y Oficina</t>
        </is>
      </c>
      <c r="E321" t="inlineStr">
        <is>
          <t>Útiles Escolares</t>
        </is>
      </c>
      <c r="F321" t="inlineStr">
        <is>
          <t>Témperas y Pinturas</t>
        </is>
      </c>
      <c r="G321" s="8" t="n">
        <v>427.06</v>
      </c>
      <c r="H321" s="9" t="n">
        <v>62</v>
      </c>
      <c r="I321" t="n">
        <v>52</v>
      </c>
      <c r="J321" s="10" t="n">
        <v>46129</v>
      </c>
      <c r="K321" s="8" t="n">
        <v>6.89</v>
      </c>
      <c r="L321" s="6" t="inlineStr"/>
      <c r="M321" s="7">
        <f>IF(L321&gt;0,(K321-L321)/K321*100,"")</f>
        <v/>
      </c>
    </row>
    <row r="322">
      <c r="A322" s="2" t="n">
        <v>321</v>
      </c>
      <c r="B322" s="2" t="inlineStr">
        <is>
          <t>B1512</t>
        </is>
      </c>
      <c r="C322" s="2" t="inlineStr">
        <is>
          <t>LENTES DE SOL</t>
        </is>
      </c>
      <c r="D322" s="2" t="inlineStr">
        <is>
          <t>Accesorios</t>
        </is>
      </c>
      <c r="E322" s="2" t="inlineStr">
        <is>
          <t>Accesorios Mujer</t>
        </is>
      </c>
      <c r="F322" s="2" t="inlineStr">
        <is>
          <t>Lentes de Sol</t>
        </is>
      </c>
      <c r="G322" s="3" t="n">
        <v>426.3</v>
      </c>
      <c r="H322" s="4" t="n">
        <v>87</v>
      </c>
      <c r="I322" s="2" t="n">
        <v>69</v>
      </c>
      <c r="J322" s="5" t="n">
        <v>46177</v>
      </c>
      <c r="K322" s="3" t="n">
        <v>4.9</v>
      </c>
      <c r="L322" s="6" t="inlineStr"/>
      <c r="M322" s="7">
        <f>IF(L322&gt;0,(K322-L322)/K322*100,"")</f>
        <v/>
      </c>
    </row>
    <row r="323">
      <c r="A323" t="n">
        <v>322</v>
      </c>
      <c r="B323" t="inlineStr">
        <is>
          <t>77204701966082</t>
        </is>
      </c>
      <c r="C323" t="inlineStr">
        <is>
          <t>Marshmallow Relleno Sabor Uva Hsufuchi 6</t>
        </is>
      </c>
      <c r="D323" t="inlineStr">
        <is>
          <t>Alimentos y Bebidas Importadas</t>
        </is>
      </c>
      <c r="E323" t="inlineStr">
        <is>
          <t>Snacks y Dulces Asiáticos</t>
        </is>
      </c>
      <c r="F323" t="inlineStr">
        <is>
          <t>Malvaviscos (Marshmallows)</t>
        </is>
      </c>
      <c r="G323" s="8" t="n">
        <v>424.8</v>
      </c>
      <c r="H323" s="9" t="n">
        <v>72</v>
      </c>
      <c r="I323" t="n">
        <v>70</v>
      </c>
      <c r="J323" s="10" t="n">
        <v>46154</v>
      </c>
      <c r="K323" s="8" t="n">
        <v>5.9</v>
      </c>
      <c r="L323" s="6" t="inlineStr"/>
      <c r="M323" s="7">
        <f>IF(L323&gt;0,(K323-L323)/K323*100,"")</f>
        <v/>
      </c>
    </row>
    <row r="324">
      <c r="A324" s="2" t="n">
        <v>323</v>
      </c>
      <c r="B324" s="2" t="inlineStr">
        <is>
          <t>75755617710224</t>
        </is>
      </c>
      <c r="C324" s="2" t="inlineStr">
        <is>
          <t>Galletas con sabor A Piña 48G * 30</t>
        </is>
      </c>
      <c r="D324" s="2" t="inlineStr">
        <is>
          <t>Alimentos y Bebidas Importadas</t>
        </is>
      </c>
      <c r="E324" s="2" t="inlineStr">
        <is>
          <t>Snacks y Dulces Asiáticos</t>
        </is>
      </c>
      <c r="F324" s="2" t="inlineStr">
        <is>
          <t>Galletas y Bocaditos Dulces</t>
        </is>
      </c>
      <c r="G324" s="3" t="n">
        <v>424.8</v>
      </c>
      <c r="H324" s="4" t="n">
        <v>72</v>
      </c>
      <c r="I324" s="2" t="n">
        <v>71</v>
      </c>
      <c r="J324" s="5" t="n">
        <v>46178</v>
      </c>
      <c r="K324" s="3" t="n">
        <v>5.9</v>
      </c>
      <c r="L324" s="6" t="inlineStr"/>
      <c r="M324" s="7">
        <f>IF(L324&gt;0,(K324-L324)/K324*100,"")</f>
        <v/>
      </c>
    </row>
    <row r="325">
      <c r="A325" t="n">
        <v>324</v>
      </c>
      <c r="B325" t="inlineStr">
        <is>
          <t>475835</t>
        </is>
      </c>
      <c r="C325" t="inlineStr">
        <is>
          <t>CUAD ANILL A4 160H CUADR DIS M TD 5D CJX24 JUSTUS 004-0230(1CX24)</t>
        </is>
      </c>
      <c r="D325" t="inlineStr">
        <is>
          <t>Librería y Oficina</t>
        </is>
      </c>
      <c r="E325" t="inlineStr">
        <is>
          <t>Útiles Escolares</t>
        </is>
      </c>
      <c r="F325" t="inlineStr">
        <is>
          <t>Cuadernos y Blocks</t>
        </is>
      </c>
      <c r="G325" s="8" t="n">
        <v>423.81</v>
      </c>
      <c r="H325" s="9" t="n">
        <v>22</v>
      </c>
      <c r="I325" t="n">
        <v>21</v>
      </c>
      <c r="J325" s="10" t="n">
        <v>46129</v>
      </c>
      <c r="K325" s="8" t="n">
        <v>19.28</v>
      </c>
      <c r="L325" s="6" t="inlineStr"/>
      <c r="M325" s="7">
        <f>IF(L325&gt;0,(K325-L325)/K325*100,"")</f>
        <v/>
      </c>
    </row>
    <row r="326">
      <c r="A326" s="2" t="n">
        <v>325</v>
      </c>
      <c r="B326" s="2" t="inlineStr">
        <is>
          <t>AGD-210</t>
        </is>
      </c>
      <c r="C326" s="2" t="inlineStr">
        <is>
          <t>DELINEADOR LLAMITA</t>
        </is>
      </c>
      <c r="D326" s="2" t="inlineStr">
        <is>
          <t>Belleza</t>
        </is>
      </c>
      <c r="E326" s="2" t="inlineStr">
        <is>
          <t>Maquillaje y Cosméticos</t>
        </is>
      </c>
      <c r="F326" s="2" t="inlineStr">
        <is>
          <t>Delineadores</t>
        </is>
      </c>
      <c r="G326" s="3" t="n">
        <v>423.5</v>
      </c>
      <c r="H326" s="4" t="n">
        <v>77</v>
      </c>
      <c r="I326" s="2" t="n">
        <v>75</v>
      </c>
      <c r="J326" s="5" t="n">
        <v>46178</v>
      </c>
      <c r="K326" s="3" t="n">
        <v>5.5</v>
      </c>
      <c r="L326" s="6" t="inlineStr"/>
      <c r="M326" s="7">
        <f>IF(L326&gt;0,(K326-L326)/K326*100,"")</f>
        <v/>
      </c>
    </row>
    <row r="327">
      <c r="A327" t="n">
        <v>326</v>
      </c>
      <c r="B327" t="inlineStr">
        <is>
          <t>AS-3013A</t>
        </is>
      </c>
      <c r="C327" t="inlineStr">
        <is>
          <t>INFLADOR GLOBO</t>
        </is>
      </c>
      <c r="D327" t="inlineStr">
        <is>
          <t>Fiestas y Cumpleaños</t>
        </is>
      </c>
      <c r="E327" t="inlineStr">
        <is>
          <t>Cumpleaños</t>
        </is>
      </c>
      <c r="F327" t="inlineStr">
        <is>
          <t>Globos e Infladores</t>
        </is>
      </c>
      <c r="G327" s="8" t="n">
        <v>421.8</v>
      </c>
      <c r="H327" s="9" t="n">
        <v>222</v>
      </c>
      <c r="I327" t="n">
        <v>119</v>
      </c>
      <c r="J327" s="10" t="n">
        <v>46165</v>
      </c>
      <c r="K327" s="8" t="n">
        <v>1.9</v>
      </c>
      <c r="L327" s="6" t="inlineStr"/>
      <c r="M327" s="7">
        <f>IF(L327&gt;0,(K327-L327)/K327*100,"")</f>
        <v/>
      </c>
    </row>
    <row r="328">
      <c r="A328" s="2" t="n">
        <v>327</v>
      </c>
      <c r="B328" s="2" t="inlineStr">
        <is>
          <t>108-6DF</t>
        </is>
      </c>
      <c r="C328" s="2" t="inlineStr">
        <is>
          <t>SET LAPICERO X6</t>
        </is>
      </c>
      <c r="D328" s="2" t="inlineStr">
        <is>
          <t>Librería y Oficina</t>
        </is>
      </c>
      <c r="E328" s="2" t="inlineStr">
        <is>
          <t>Útiles Escolares</t>
        </is>
      </c>
      <c r="F328" s="2" t="inlineStr">
        <is>
          <t>Lápices y Lapiceros</t>
        </is>
      </c>
      <c r="G328" s="3" t="n">
        <v>420.64</v>
      </c>
      <c r="H328" s="4" t="n">
        <v>201</v>
      </c>
      <c r="I328" s="2" t="n">
        <v>101</v>
      </c>
      <c r="J328" s="5" t="n">
        <v>46135</v>
      </c>
      <c r="K328" s="3" t="n">
        <v>2.18</v>
      </c>
      <c r="L328" s="6" t="inlineStr"/>
      <c r="M328" s="7">
        <f>IF(L328&gt;0,(K328-L328)/K328*100,"")</f>
        <v/>
      </c>
    </row>
    <row r="329">
      <c r="A329" t="n">
        <v>328</v>
      </c>
      <c r="B329" t="inlineStr">
        <is>
          <t>76106757790333</t>
        </is>
      </c>
      <c r="C329" t="inlineStr">
        <is>
          <t>RONAYA MARSHMALLOW SABOR VAINILLA 1</t>
        </is>
      </c>
      <c r="D329" t="inlineStr">
        <is>
          <t>Alimentos y Bebidas Importadas</t>
        </is>
      </c>
      <c r="E329" t="inlineStr">
        <is>
          <t>Snacks y Dulces Asiáticos</t>
        </is>
      </c>
      <c r="F329" t="inlineStr">
        <is>
          <t>Malvaviscos (Marshmallows)</t>
        </is>
      </c>
      <c r="G329" s="8" t="n">
        <v>418.9</v>
      </c>
      <c r="H329" s="9" t="n">
        <v>71</v>
      </c>
      <c r="I329" t="n">
        <v>60</v>
      </c>
      <c r="J329" s="10" t="n">
        <v>46148</v>
      </c>
      <c r="K329" s="8" t="n">
        <v>5.9</v>
      </c>
      <c r="L329" s="6" t="inlineStr"/>
      <c r="M329" s="7">
        <f>IF(L329&gt;0,(K329-L329)/K329*100,"")</f>
        <v/>
      </c>
    </row>
    <row r="330">
      <c r="A330" s="2" t="n">
        <v>329</v>
      </c>
      <c r="B330" s="2" t="inlineStr">
        <is>
          <t>AGC-142</t>
        </is>
      </c>
      <c r="C330" s="2" t="inlineStr">
        <is>
          <t>SOMBRAS LAVANDA</t>
        </is>
      </c>
      <c r="D330" s="2" t="inlineStr">
        <is>
          <t>Belleza</t>
        </is>
      </c>
      <c r="E330" s="2" t="inlineStr">
        <is>
          <t>Maquillaje y Cosméticos</t>
        </is>
      </c>
      <c r="F330" s="2" t="inlineStr">
        <is>
          <t>Sombras de Ojos</t>
        </is>
      </c>
      <c r="G330" s="3" t="n">
        <v>418.5</v>
      </c>
      <c r="H330" s="4" t="n">
        <v>15</v>
      </c>
      <c r="I330" s="2" t="n">
        <v>14</v>
      </c>
      <c r="J330" s="5" t="n">
        <v>46147</v>
      </c>
      <c r="K330" s="3" t="n">
        <v>27.9</v>
      </c>
      <c r="L330" s="6" t="inlineStr"/>
      <c r="M330" s="7">
        <f>IF(L330&gt;0,(K330-L330)/K330*100,"")</f>
        <v/>
      </c>
    </row>
    <row r="331">
      <c r="A331" t="n">
        <v>330</v>
      </c>
      <c r="B331" t="inlineStr">
        <is>
          <t>76106757581367</t>
        </is>
      </c>
      <c r="C331" t="inlineStr">
        <is>
          <t>PAL D/GAL BAñADO C/CREMA CHOCO S/DURA</t>
        </is>
      </c>
      <c r="D331" t="inlineStr">
        <is>
          <t>Alimentos y Bebidas Importadas</t>
        </is>
      </c>
      <c r="E331" t="inlineStr">
        <is>
          <t>Snacks y Dulces Asiáticos</t>
        </is>
      </c>
      <c r="F331" t="inlineStr">
        <is>
          <t>Galletas y Bocaditos Dulces</t>
        </is>
      </c>
      <c r="G331" s="8" t="n">
        <v>418.31</v>
      </c>
      <c r="H331" s="9" t="n">
        <v>71</v>
      </c>
      <c r="I331" t="n">
        <v>71</v>
      </c>
      <c r="J331" s="10" t="n">
        <v>46178</v>
      </c>
      <c r="K331" s="8" t="n">
        <v>5.89</v>
      </c>
      <c r="L331" s="6" t="inlineStr"/>
      <c r="M331" s="7">
        <f>IF(L331&gt;0,(K331-L331)/K331*100,"")</f>
        <v/>
      </c>
    </row>
    <row r="332">
      <c r="A332" s="2" t="n">
        <v>331</v>
      </c>
      <c r="B332" s="2" t="inlineStr">
        <is>
          <t>TY7510-3</t>
        </is>
      </c>
      <c r="C332" s="2" t="inlineStr">
        <is>
          <t>VASO</t>
        </is>
      </c>
      <c r="D332" s="2" t="inlineStr">
        <is>
          <t>Hogar y Decoración</t>
        </is>
      </c>
      <c r="E332" s="2" t="inlineStr">
        <is>
          <t>Menaje de Comedor</t>
        </is>
      </c>
      <c r="F332" s="2" t="inlineStr">
        <is>
          <t>Vasos</t>
        </is>
      </c>
      <c r="G332" s="3" t="n">
        <v>416.73</v>
      </c>
      <c r="H332" s="4" t="n">
        <v>144</v>
      </c>
      <c r="I332" s="2" t="n">
        <v>28</v>
      </c>
      <c r="J332" s="5" t="n">
        <v>46170</v>
      </c>
      <c r="K332" s="3" t="n">
        <v>2.89</v>
      </c>
      <c r="L332" s="6" t="inlineStr"/>
      <c r="M332" s="7">
        <f>IF(L332&gt;0,(K332-L332)/K332*100,"")</f>
        <v/>
      </c>
    </row>
    <row r="333">
      <c r="A333" t="n">
        <v>332</v>
      </c>
      <c r="B333" t="inlineStr">
        <is>
          <t>RR0210</t>
        </is>
      </c>
      <c r="C333" t="inlineStr">
        <is>
          <t>SET COLADOR X3</t>
        </is>
      </c>
      <c r="D333" t="inlineStr">
        <is>
          <t>Hogar y Decoración</t>
        </is>
      </c>
      <c r="E333" t="inlineStr">
        <is>
          <t>Menaje de Cocina</t>
        </is>
      </c>
      <c r="F333" t="inlineStr">
        <is>
          <t>Utensilios de Cocina</t>
        </is>
      </c>
      <c r="G333" s="8" t="n">
        <v>416.07</v>
      </c>
      <c r="H333" s="9" t="n">
        <v>144</v>
      </c>
      <c r="I333" t="n">
        <v>129</v>
      </c>
      <c r="J333" s="10" t="n">
        <v>46156</v>
      </c>
      <c r="K333" s="8" t="n">
        <v>2.9</v>
      </c>
      <c r="L333" s="6" t="inlineStr"/>
      <c r="M333" s="7">
        <f>IF(L333&gt;0,(K333-L333)/K333*100,"")</f>
        <v/>
      </c>
    </row>
    <row r="334">
      <c r="A334" s="2" t="n">
        <v>333</v>
      </c>
      <c r="B334" s="2" t="inlineStr">
        <is>
          <t>3856</t>
        </is>
      </c>
      <c r="C334" s="2" t="inlineStr">
        <is>
          <t>BURBUJA PEPA</t>
        </is>
      </c>
      <c r="D334" s="2" t="inlineStr">
        <is>
          <t>Juguetes y Juegos</t>
        </is>
      </c>
      <c r="E334" s="2" t="inlineStr">
        <is>
          <t>Juguetes</t>
        </is>
      </c>
      <c r="F334" s="2" t="inlineStr">
        <is>
          <t>Burbujas</t>
        </is>
      </c>
      <c r="G334" s="3" t="n">
        <v>415.1</v>
      </c>
      <c r="H334" s="4" t="n">
        <v>208</v>
      </c>
      <c r="I334" s="2" t="n">
        <v>180</v>
      </c>
      <c r="J334" s="5" t="n">
        <v>46157</v>
      </c>
      <c r="K334" s="3" t="n">
        <v>2</v>
      </c>
      <c r="L334" s="6" t="inlineStr"/>
      <c r="M334" s="7">
        <f>IF(L334&gt;0,(K334-L334)/K334*100,"")</f>
        <v/>
      </c>
    </row>
    <row r="335">
      <c r="A335" t="n">
        <v>334</v>
      </c>
      <c r="B335" t="inlineStr">
        <is>
          <t>MS-2998</t>
        </is>
      </c>
      <c r="C335" t="inlineStr">
        <is>
          <t>Tomatodo termo</t>
        </is>
      </c>
      <c r="D335" t="inlineStr">
        <is>
          <t>Hogar y Decoración</t>
        </is>
      </c>
      <c r="E335" t="inlineStr">
        <is>
          <t>Menaje de Cocina</t>
        </is>
      </c>
      <c r="F335" t="inlineStr">
        <is>
          <t>Termos</t>
        </is>
      </c>
      <c r="G335" s="8" t="n">
        <v>414.4</v>
      </c>
      <c r="H335" s="9" t="n">
        <v>16</v>
      </c>
      <c r="I335" t="n">
        <v>15</v>
      </c>
      <c r="J335" s="10" t="n">
        <v>46128</v>
      </c>
      <c r="K335" s="8" t="n">
        <v>25.9</v>
      </c>
      <c r="L335" s="6" t="inlineStr"/>
      <c r="M335" s="7">
        <f>IF(L335&gt;0,(K335-L335)/K335*100,"")</f>
        <v/>
      </c>
    </row>
    <row r="336">
      <c r="A336" s="2" t="n">
        <v>335</v>
      </c>
      <c r="B336" s="2" t="inlineStr">
        <is>
          <t>2110030171</t>
        </is>
      </c>
      <c r="C336" s="2" t="inlineStr">
        <is>
          <t>TÉMPERAS LAYCONSA PUPPY SET X 6 PASTEL</t>
        </is>
      </c>
      <c r="D336" s="2" t="inlineStr">
        <is>
          <t>Librería y Oficina</t>
        </is>
      </c>
      <c r="E336" s="2" t="inlineStr">
        <is>
          <t>Útiles Escolares</t>
        </is>
      </c>
      <c r="F336" s="2" t="inlineStr">
        <is>
          <t>Témperas y Pinturas</t>
        </is>
      </c>
      <c r="G336" s="3" t="n">
        <v>414</v>
      </c>
      <c r="H336" s="4" t="n">
        <v>60</v>
      </c>
      <c r="I336" s="2" t="n">
        <v>54</v>
      </c>
      <c r="J336" s="5" t="n">
        <v>46106</v>
      </c>
      <c r="K336" s="3" t="n">
        <v>6.9</v>
      </c>
      <c r="L336" s="6" t="inlineStr"/>
      <c r="M336" s="7">
        <f>IF(L336&gt;0,(K336-L336)/K336*100,"")</f>
        <v/>
      </c>
    </row>
    <row r="337">
      <c r="A337" t="n">
        <v>336</v>
      </c>
      <c r="B337" t="inlineStr">
        <is>
          <t>CC-186</t>
        </is>
      </c>
      <c r="C337" t="inlineStr">
        <is>
          <t>Porta Objetos</t>
        </is>
      </c>
      <c r="D337" t="inlineStr">
        <is>
          <t>Hogar y Decoración</t>
        </is>
      </c>
      <c r="E337" t="inlineStr">
        <is>
          <t>Decoración</t>
        </is>
      </c>
      <c r="F337" t="inlineStr">
        <is>
          <t>Adornos y Accesorios de Decoración</t>
        </is>
      </c>
      <c r="G337" s="8" t="n">
        <v>413.4</v>
      </c>
      <c r="H337" s="9" t="n">
        <v>417</v>
      </c>
      <c r="I337" t="n">
        <v>206</v>
      </c>
      <c r="J337" s="10" t="n">
        <v>46150</v>
      </c>
      <c r="K337" s="8" t="n">
        <v>1</v>
      </c>
      <c r="L337" s="6" t="inlineStr"/>
      <c r="M337" s="7">
        <f>IF(L337&gt;0,(K337-L337)/K337*100,"")</f>
        <v/>
      </c>
    </row>
    <row r="338">
      <c r="A338" s="2" t="n">
        <v>337</v>
      </c>
      <c r="B338" s="2" t="inlineStr">
        <is>
          <t>805457</t>
        </is>
      </c>
      <c r="C338" s="2" t="inlineStr">
        <is>
          <t>26 SCOOL KOMBAT SET MALETA GDE EVA 3D MINECRAFT_A</t>
        </is>
      </c>
      <c r="D338" s="2" t="inlineStr">
        <is>
          <t>Librería y Oficina</t>
        </is>
      </c>
      <c r="E338" s="2" t="inlineStr">
        <is>
          <t>Mochilas y Cartucheras</t>
        </is>
      </c>
      <c r="F338" s="2" t="inlineStr">
        <is>
          <t>Mochilas Escolares</t>
        </is>
      </c>
      <c r="G338" s="3" t="n">
        <v>411.72</v>
      </c>
      <c r="H338" s="4" t="n">
        <v>3</v>
      </c>
      <c r="I338" s="2" t="n">
        <v>3</v>
      </c>
      <c r="J338" s="5" t="n">
        <v>46123</v>
      </c>
      <c r="K338" s="3" t="n">
        <v>137.24</v>
      </c>
      <c r="L338" s="6" t="inlineStr"/>
      <c r="M338" s="7">
        <f>IF(L338&gt;0,(K338-L338)/K338*100,"")</f>
        <v/>
      </c>
    </row>
    <row r="339">
      <c r="A339" t="n">
        <v>338</v>
      </c>
      <c r="B339" t="inlineStr">
        <is>
          <t>TCB-1457</t>
        </is>
      </c>
      <c r="C339" t="inlineStr">
        <is>
          <t>Bol/Cuenco</t>
        </is>
      </c>
      <c r="D339" t="inlineStr">
        <is>
          <t>Hogar y Decoración</t>
        </is>
      </c>
      <c r="E339" t="inlineStr">
        <is>
          <t>Menaje de Cocina</t>
        </is>
      </c>
      <c r="F339" t="inlineStr">
        <is>
          <t>Utensilios de Repostería, Moldes y Bowls</t>
        </is>
      </c>
      <c r="G339" s="8" t="n">
        <v>411.1</v>
      </c>
      <c r="H339" s="9" t="n">
        <v>110</v>
      </c>
      <c r="I339" t="n">
        <v>39</v>
      </c>
      <c r="J339" s="10" t="n">
        <v>46169</v>
      </c>
      <c r="K339" s="8" t="n">
        <v>3.79</v>
      </c>
      <c r="L339" s="6" t="inlineStr"/>
      <c r="M339" s="7">
        <f>IF(L339&gt;0,(K339-L339)/K339*100,"")</f>
        <v/>
      </c>
    </row>
    <row r="340">
      <c r="A340" s="2" t="n">
        <v>339</v>
      </c>
      <c r="B340" s="2" t="inlineStr">
        <is>
          <t>704416</t>
        </is>
      </c>
      <c r="C340" s="2" t="inlineStr">
        <is>
          <t>25 SCOOL INV KOMBAT BOTELLA PP S/CAÑA 450ML JURASSIC</t>
        </is>
      </c>
      <c r="D340" s="2" t="inlineStr">
        <is>
          <t>Librería y Oficina</t>
        </is>
      </c>
      <c r="E340" s="2" t="inlineStr">
        <is>
          <t>Loncheras y Taperes Escolares</t>
        </is>
      </c>
      <c r="F340" s="2" t="inlineStr">
        <is>
          <t>Botellas Escolares</t>
        </is>
      </c>
      <c r="G340" s="3" t="n">
        <v>410.01</v>
      </c>
      <c r="H340" s="4" t="n">
        <v>52</v>
      </c>
      <c r="I340" s="2" t="n">
        <v>50</v>
      </c>
      <c r="J340" s="5" t="n">
        <v>46153</v>
      </c>
      <c r="K340" s="3" t="n">
        <v>7.88</v>
      </c>
      <c r="L340" s="6" t="inlineStr"/>
      <c r="M340" s="7">
        <f>IF(L340&gt;0,(K340-L340)/K340*100,"")</f>
        <v/>
      </c>
    </row>
    <row r="341">
      <c r="A341" t="n">
        <v>340</v>
      </c>
      <c r="B341" t="inlineStr">
        <is>
          <t>234401</t>
        </is>
      </c>
      <c r="C341" t="inlineStr">
        <is>
          <t>MADISON ÁCIDO HIALURÓNICO MASCARILLA FACIAL 5UND</t>
        </is>
      </c>
      <c r="D341" t="inlineStr">
        <is>
          <t>Belleza</t>
        </is>
      </c>
      <c r="E341" t="inlineStr">
        <is>
          <t>Cuidado Facial</t>
        </is>
      </c>
      <c r="F341" t="inlineStr">
        <is>
          <t>Mascarillas Faciales</t>
        </is>
      </c>
      <c r="G341" s="8" t="n">
        <v>406</v>
      </c>
      <c r="H341" s="9" t="n">
        <v>116</v>
      </c>
      <c r="I341" t="n">
        <v>99</v>
      </c>
      <c r="J341" s="10" t="n">
        <v>46178</v>
      </c>
      <c r="K341" s="8" t="n">
        <v>3.5</v>
      </c>
      <c r="L341" s="6" t="inlineStr"/>
      <c r="M341" s="7">
        <f>IF(L341&gt;0,(K341-L341)/K341*100,"")</f>
        <v/>
      </c>
    </row>
    <row r="342">
      <c r="A342" s="2" t="n">
        <v>341</v>
      </c>
      <c r="B342" s="2" t="inlineStr">
        <is>
          <t>3057</t>
        </is>
      </c>
      <c r="C342" s="2" t="inlineStr">
        <is>
          <t>COPAS</t>
        </is>
      </c>
      <c r="D342" s="2" t="inlineStr">
        <is>
          <t>Hogar y Decoración</t>
        </is>
      </c>
      <c r="E342" s="2" t="inlineStr">
        <is>
          <t>Menaje de Comedor</t>
        </is>
      </c>
      <c r="F342" s="2" t="inlineStr">
        <is>
          <t>Copas</t>
        </is>
      </c>
      <c r="G342" s="3" t="n">
        <v>403.5</v>
      </c>
      <c r="H342" s="4" t="n">
        <v>135</v>
      </c>
      <c r="I342" s="2" t="n">
        <v>35</v>
      </c>
      <c r="J342" s="5" t="n">
        <v>46178</v>
      </c>
      <c r="K342" s="3" t="n">
        <v>2.99</v>
      </c>
      <c r="L342" s="6" t="inlineStr"/>
      <c r="M342" s="7">
        <f>IF(L342&gt;0,(K342-L342)/K342*100,"")</f>
        <v/>
      </c>
    </row>
    <row r="343">
      <c r="A343" t="n">
        <v>342</v>
      </c>
      <c r="B343" t="inlineStr">
        <is>
          <t>L9172</t>
        </is>
      </c>
      <c r="C343" t="inlineStr">
        <is>
          <t>INFLADOR GLOBOS</t>
        </is>
      </c>
      <c r="D343" t="inlineStr">
        <is>
          <t>Fiestas y Cumpleaños</t>
        </is>
      </c>
      <c r="E343" t="inlineStr">
        <is>
          <t>Cumpleaños</t>
        </is>
      </c>
      <c r="F343" t="inlineStr">
        <is>
          <t>Globos e Infladores</t>
        </is>
      </c>
      <c r="G343" s="8" t="n">
        <v>402.8</v>
      </c>
      <c r="H343" s="9" t="n">
        <v>212</v>
      </c>
      <c r="I343" t="n">
        <v>151</v>
      </c>
      <c r="J343" s="10" t="n">
        <v>46158</v>
      </c>
      <c r="K343" s="8" t="n">
        <v>1.9</v>
      </c>
      <c r="L343" s="6" t="inlineStr"/>
      <c r="M343" s="7">
        <f>IF(L343&gt;0,(K343-L343)/K343*100,"")</f>
        <v/>
      </c>
    </row>
    <row r="344">
      <c r="A344" s="2" t="n">
        <v>343</v>
      </c>
      <c r="B344" s="2" t="inlineStr">
        <is>
          <t>MER-1511</t>
        </is>
      </c>
      <c r="C344" s="2" t="inlineStr">
        <is>
          <t>PERFORADOR MERCYFAND</t>
        </is>
      </c>
      <c r="D344" s="2" t="inlineStr">
        <is>
          <t>Librería y Oficina</t>
        </is>
      </c>
      <c r="E344" s="2" t="inlineStr">
        <is>
          <t>Útiles Escolares</t>
        </is>
      </c>
      <c r="F344" s="2" t="inlineStr">
        <is>
          <t>Papelería Variada</t>
        </is>
      </c>
      <c r="G344" s="3" t="n">
        <v>402.17</v>
      </c>
      <c r="H344" s="4" t="n">
        <v>104</v>
      </c>
      <c r="I344" s="2" t="n">
        <v>98</v>
      </c>
      <c r="J344" s="5" t="n">
        <v>46109</v>
      </c>
      <c r="K344" s="3" t="n">
        <v>3.88</v>
      </c>
      <c r="L344" s="6" t="inlineStr"/>
      <c r="M344" s="7">
        <f>IF(L344&gt;0,(K344-L344)/K344*100,"")</f>
        <v/>
      </c>
    </row>
    <row r="345">
      <c r="A345" t="n">
        <v>344</v>
      </c>
      <c r="B345" t="inlineStr">
        <is>
          <t>TCB-1991</t>
        </is>
      </c>
      <c r="C345" t="inlineStr">
        <is>
          <t>Taza de cerámica cafe rosado</t>
        </is>
      </c>
      <c r="D345" t="inlineStr">
        <is>
          <t>Hogar y Decoración</t>
        </is>
      </c>
      <c r="E345" t="inlineStr">
        <is>
          <t>Menaje de Comedor</t>
        </is>
      </c>
      <c r="F345" t="inlineStr">
        <is>
          <t>Tazas y Mugs</t>
        </is>
      </c>
      <c r="G345" s="8" t="n">
        <v>401.5</v>
      </c>
      <c r="H345" s="9" t="n">
        <v>82</v>
      </c>
      <c r="I345" t="n">
        <v>49</v>
      </c>
      <c r="J345" s="10" t="n">
        <v>46122</v>
      </c>
      <c r="K345" s="8" t="n">
        <v>4.9</v>
      </c>
      <c r="L345" s="6" t="inlineStr"/>
      <c r="M345" s="7">
        <f>IF(L345&gt;0,(K345-L345)/K345*100,"")</f>
        <v/>
      </c>
    </row>
    <row r="346">
      <c r="A346" s="2" t="n">
        <v>345</v>
      </c>
      <c r="B346" s="2" t="inlineStr">
        <is>
          <t>802</t>
        </is>
      </c>
      <c r="C346" s="2" t="inlineStr">
        <is>
          <t>Esponja para ollas x4</t>
        </is>
      </c>
      <c r="D346" s="2" t="inlineStr">
        <is>
          <t>Limpieza</t>
        </is>
      </c>
      <c r="E346" s="2" t="inlineStr">
        <is>
          <t>Accesorios de Limpieza</t>
        </is>
      </c>
      <c r="F346" s="2" t="inlineStr">
        <is>
          <t>Esponjas, Paños y Guantes</t>
        </is>
      </c>
      <c r="G346" s="3" t="n">
        <v>398.75</v>
      </c>
      <c r="H346" s="4" t="n">
        <v>400</v>
      </c>
      <c r="I346" s="2" t="n">
        <v>355</v>
      </c>
      <c r="J346" s="5" t="n">
        <v>46119</v>
      </c>
      <c r="K346" s="3" t="n">
        <v>1</v>
      </c>
      <c r="L346" s="6" t="inlineStr"/>
      <c r="M346" s="7">
        <f>IF(L346&gt;0,(K346-L346)/K346*100,"")</f>
        <v/>
      </c>
    </row>
    <row r="347">
      <c r="A347" t="n">
        <v>346</v>
      </c>
      <c r="B347" t="inlineStr">
        <is>
          <t>BIGB11</t>
        </is>
      </c>
      <c r="C347" t="inlineStr">
        <is>
          <t>BIG BEN COOKIEW AND CREAM</t>
        </is>
      </c>
      <c r="D347" t="inlineStr">
        <is>
          <t>Abarrotes</t>
        </is>
      </c>
      <c r="E347" t="inlineStr">
        <is>
          <t>Dulces y Chocolates</t>
        </is>
      </c>
      <c r="F347" t="inlineStr">
        <is>
          <t>Galletas</t>
        </is>
      </c>
      <c r="G347" s="8" t="n">
        <v>397.5</v>
      </c>
      <c r="H347" s="9" t="n">
        <v>159</v>
      </c>
      <c r="I347" t="n">
        <v>146</v>
      </c>
      <c r="J347" s="10" t="n">
        <v>46176</v>
      </c>
      <c r="K347" s="8" t="n">
        <v>2.5</v>
      </c>
      <c r="L347" s="6" t="inlineStr"/>
      <c r="M347" s="7">
        <f>IF(L347&gt;0,(K347-L347)/K347*100,"")</f>
        <v/>
      </c>
    </row>
    <row r="348">
      <c r="A348" s="2" t="n">
        <v>347</v>
      </c>
      <c r="B348" s="2" t="inlineStr">
        <is>
          <t>R143</t>
        </is>
      </c>
      <c r="C348" s="2" t="inlineStr">
        <is>
          <t>CUADERNO RAYADO COLLEGE</t>
        </is>
      </c>
      <c r="D348" s="2" t="inlineStr">
        <is>
          <t>Librería y Oficina</t>
        </is>
      </c>
      <c r="E348" s="2" t="inlineStr">
        <is>
          <t>Útiles Escolares</t>
        </is>
      </c>
      <c r="F348" s="2" t="inlineStr">
        <is>
          <t>Cuadernos y Blocks</t>
        </is>
      </c>
      <c r="G348" s="3" t="n">
        <v>396.9</v>
      </c>
      <c r="H348" s="4" t="n">
        <v>81</v>
      </c>
      <c r="I348" s="2" t="n">
        <v>47</v>
      </c>
      <c r="J348" s="5" t="n">
        <v>46145</v>
      </c>
      <c r="K348" s="3" t="n">
        <v>4.9</v>
      </c>
      <c r="L348" s="6" t="inlineStr"/>
      <c r="M348" s="7">
        <f>IF(L348&gt;0,(K348-L348)/K348*100,"")</f>
        <v/>
      </c>
    </row>
    <row r="349">
      <c r="A349" t="n">
        <v>348</v>
      </c>
      <c r="B349" t="inlineStr">
        <is>
          <t>AR16027000</t>
        </is>
      </c>
      <c r="C349" t="inlineStr">
        <is>
          <t>GRAPAS ARTESCO 26/6 X 5000</t>
        </is>
      </c>
      <c r="D349" t="inlineStr">
        <is>
          <t>Librería y Oficina</t>
        </is>
      </c>
      <c r="E349" t="inlineStr">
        <is>
          <t>Útiles Escolares</t>
        </is>
      </c>
      <c r="F349" t="inlineStr">
        <is>
          <t>Papelería Variada</t>
        </is>
      </c>
      <c r="G349" s="8" t="n">
        <v>396.8</v>
      </c>
      <c r="H349" s="9" t="n">
        <v>101</v>
      </c>
      <c r="I349" t="n">
        <v>86</v>
      </c>
      <c r="J349" s="10" t="n">
        <v>46151</v>
      </c>
      <c r="K349" s="8" t="n">
        <v>3.94</v>
      </c>
      <c r="L349" s="6" t="inlineStr"/>
      <c r="M349" s="7">
        <f>IF(L349&gt;0,(K349-L349)/K349*100,"")</f>
        <v/>
      </c>
    </row>
    <row r="350">
      <c r="A350" s="2" t="n">
        <v>349</v>
      </c>
      <c r="B350" s="2" t="inlineStr">
        <is>
          <t>75755617724164</t>
        </is>
      </c>
      <c r="C350" s="2" t="inlineStr">
        <is>
          <t>Galletas Con Sabor A Cacao 48G* 30</t>
        </is>
      </c>
      <c r="D350" s="2" t="inlineStr">
        <is>
          <t>Alimentos y Bebidas Importadas</t>
        </is>
      </c>
      <c r="E350" s="2" t="inlineStr">
        <is>
          <t>Snacks y Dulces Asiáticos</t>
        </is>
      </c>
      <c r="F350" s="2" t="inlineStr">
        <is>
          <t>Galletas y Bocaditos Dulces</t>
        </is>
      </c>
      <c r="G350" s="3" t="n">
        <v>395.3</v>
      </c>
      <c r="H350" s="4" t="n">
        <v>67</v>
      </c>
      <c r="I350" s="2" t="n">
        <v>63</v>
      </c>
      <c r="J350" s="5" t="n">
        <v>46171</v>
      </c>
      <c r="K350" s="3" t="n">
        <v>5.9</v>
      </c>
      <c r="L350" s="6" t="inlineStr"/>
      <c r="M350" s="7">
        <f>IF(L350&gt;0,(K350-L350)/K350*100,"")</f>
        <v/>
      </c>
    </row>
    <row r="351">
      <c r="A351" t="n">
        <v>350</v>
      </c>
      <c r="B351" t="inlineStr">
        <is>
          <t>2000660034</t>
        </is>
      </c>
      <c r="C351" t="inlineStr">
        <is>
          <t>FUNDA PORTAPAPELES PVC LAYCONSA A4 BOLSA X 10 UND</t>
        </is>
      </c>
      <c r="D351" t="inlineStr">
        <is>
          <t>Librería y Oficina</t>
        </is>
      </c>
      <c r="E351" t="inlineStr">
        <is>
          <t>Útiles Escolares</t>
        </is>
      </c>
      <c r="F351" t="inlineStr">
        <is>
          <t>Papelería Variada</t>
        </is>
      </c>
      <c r="G351" s="8" t="n">
        <v>395.13</v>
      </c>
      <c r="H351" s="9" t="n">
        <v>89</v>
      </c>
      <c r="I351" t="n">
        <v>72</v>
      </c>
      <c r="J351" s="10" t="n">
        <v>46117</v>
      </c>
      <c r="K351" s="8" t="n">
        <v>4.48</v>
      </c>
      <c r="L351" s="6" t="inlineStr"/>
      <c r="M351" s="7">
        <f>IF(L351&gt;0,(K351-L351)/K351*100,"")</f>
        <v/>
      </c>
    </row>
    <row r="352">
      <c r="A352" s="2" t="n">
        <v>351</v>
      </c>
      <c r="B352" s="2" t="inlineStr">
        <is>
          <t>76002287477917</t>
        </is>
      </c>
      <c r="C352" s="2" t="inlineStr">
        <is>
          <t>Gomitas Trululu con Manos 80gr (PQTX12)</t>
        </is>
      </c>
      <c r="D352" s="2" t="inlineStr">
        <is>
          <t>Abarrotes</t>
        </is>
      </c>
      <c r="E352" s="2" t="inlineStr">
        <is>
          <t>Dulces y Chocolates</t>
        </is>
      </c>
      <c r="F352" s="2" t="inlineStr">
        <is>
          <t>Gomitas</t>
        </is>
      </c>
      <c r="G352" s="3" t="n">
        <v>395</v>
      </c>
      <c r="H352" s="4" t="n">
        <v>158</v>
      </c>
      <c r="I352" s="2" t="n">
        <v>142</v>
      </c>
      <c r="J352" s="5" t="n">
        <v>46174</v>
      </c>
      <c r="K352" s="3" t="n">
        <v>2.5</v>
      </c>
      <c r="L352" s="6" t="inlineStr"/>
      <c r="M352" s="7">
        <f>IF(L352&gt;0,(K352-L352)/K352*100,"")</f>
        <v/>
      </c>
    </row>
    <row r="353">
      <c r="A353" t="n">
        <v>352</v>
      </c>
      <c r="B353" t="inlineStr">
        <is>
          <t>MMC1530</t>
        </is>
      </c>
      <c r="C353" t="inlineStr">
        <is>
          <t>JGT BARBIE MAQUILLAJE GRANDE</t>
        </is>
      </c>
      <c r="D353" t="inlineStr">
        <is>
          <t>Juguetes y Juegos</t>
        </is>
      </c>
      <c r="E353" t="inlineStr">
        <is>
          <t>Juguetes</t>
        </is>
      </c>
      <c r="F353" t="inlineStr">
        <is>
          <t>Juguetes Variados</t>
        </is>
      </c>
      <c r="G353" s="8" t="n">
        <v>394.8</v>
      </c>
      <c r="H353" s="9" t="n">
        <v>12</v>
      </c>
      <c r="I353" t="n">
        <v>12</v>
      </c>
      <c r="J353" s="10" t="n">
        <v>46151</v>
      </c>
      <c r="K353" s="8" t="n">
        <v>32.9</v>
      </c>
      <c r="L353" s="6" t="inlineStr"/>
      <c r="M353" s="7">
        <f>IF(L353&gt;0,(K353-L353)/K353*100,"")</f>
        <v/>
      </c>
    </row>
    <row r="354">
      <c r="A354" s="2" t="n">
        <v>353</v>
      </c>
      <c r="B354" s="2" t="inlineStr">
        <is>
          <t>16695</t>
        </is>
      </c>
      <c r="C354" s="2" t="inlineStr">
        <is>
          <t>COLA X 250 ML OVE C/APLICADOR</t>
        </is>
      </c>
      <c r="D354" s="2" t="inlineStr">
        <is>
          <t>Librería y Oficina</t>
        </is>
      </c>
      <c r="E354" s="2" t="inlineStr">
        <is>
          <t>Útiles Escolares</t>
        </is>
      </c>
      <c r="F354" s="2" t="inlineStr">
        <is>
          <t>Pegamentos y Silicona</t>
        </is>
      </c>
      <c r="G354" s="3" t="n">
        <v>394.49</v>
      </c>
      <c r="H354" s="4" t="n">
        <v>144</v>
      </c>
      <c r="I354" s="2" t="n">
        <v>104</v>
      </c>
      <c r="J354" s="5" t="n">
        <v>46106</v>
      </c>
      <c r="K354" s="3" t="n">
        <v>2.78</v>
      </c>
      <c r="L354" s="6" t="inlineStr"/>
      <c r="M354" s="7">
        <f>IF(L354&gt;0,(K354-L354)/K354*100,"")</f>
        <v/>
      </c>
    </row>
    <row r="355">
      <c r="A355" t="n">
        <v>354</v>
      </c>
      <c r="B355" t="inlineStr">
        <is>
          <t>2000940007</t>
        </is>
      </c>
      <c r="C355" t="inlineStr">
        <is>
          <t>FORRO PLÁSTICO LAYCONSA OFICIO 5M</t>
        </is>
      </c>
      <c r="D355" t="inlineStr">
        <is>
          <t>Librería y Oficina</t>
        </is>
      </c>
      <c r="E355" t="inlineStr">
        <is>
          <t>Útiles Escolares</t>
        </is>
      </c>
      <c r="F355" t="inlineStr">
        <is>
          <t>Forros para Cuadernos</t>
        </is>
      </c>
      <c r="G355" s="8" t="n">
        <v>392.63</v>
      </c>
      <c r="H355" s="9" t="n">
        <v>50</v>
      </c>
      <c r="I355" t="n">
        <v>42</v>
      </c>
      <c r="J355" s="10" t="n">
        <v>46102</v>
      </c>
      <c r="K355" s="8" t="n">
        <v>7.88</v>
      </c>
      <c r="L355" s="6" t="inlineStr"/>
      <c r="M355" s="7">
        <f>IF(L355&gt;0,(K355-L355)/K355*100,"")</f>
        <v/>
      </c>
    </row>
    <row r="356">
      <c r="A356" s="2" t="n">
        <v>355</v>
      </c>
      <c r="B356" s="2" t="inlineStr">
        <is>
          <t>GRO-1182</t>
        </is>
      </c>
      <c r="C356" s="2" t="inlineStr">
        <is>
          <t>SET PLUMON PIZARRA X4 + MOTA</t>
        </is>
      </c>
      <c r="D356" s="2" t="inlineStr">
        <is>
          <t>Librería y Oficina</t>
        </is>
      </c>
      <c r="E356" s="2" t="inlineStr">
        <is>
          <t>Útiles Escolares</t>
        </is>
      </c>
      <c r="F356" s="2" t="inlineStr">
        <is>
          <t>Plumones y Marcadores</t>
        </is>
      </c>
      <c r="G356" s="3" t="n">
        <v>391.59</v>
      </c>
      <c r="H356" s="4" t="n">
        <v>69</v>
      </c>
      <c r="I356" s="2" t="n">
        <v>65</v>
      </c>
      <c r="J356" s="5" t="n">
        <v>46097</v>
      </c>
      <c r="K356" s="3" t="n">
        <v>5.69</v>
      </c>
      <c r="L356" s="6" t="inlineStr"/>
      <c r="M356" s="7">
        <f>IF(L356&gt;0,(K356-L356)/K356*100,"")</f>
        <v/>
      </c>
    </row>
    <row r="357">
      <c r="A357" t="n">
        <v>356</v>
      </c>
      <c r="B357" t="inlineStr">
        <is>
          <t>TR-008</t>
        </is>
      </c>
      <c r="C357" t="inlineStr">
        <is>
          <t>TIJERA</t>
        </is>
      </c>
      <c r="D357" t="inlineStr">
        <is>
          <t>Librería y Oficina</t>
        </is>
      </c>
      <c r="E357" t="inlineStr">
        <is>
          <t>Útiles Escolares</t>
        </is>
      </c>
      <c r="F357" t="inlineStr">
        <is>
          <t>Tijeras y Reglas</t>
        </is>
      </c>
      <c r="G357" s="8" t="n">
        <v>391.15</v>
      </c>
      <c r="H357" s="9" t="n">
        <v>350</v>
      </c>
      <c r="I357" t="n">
        <v>125</v>
      </c>
      <c r="J357" s="10" t="n">
        <v>46103</v>
      </c>
      <c r="K357" s="8" t="n">
        <v>1.18</v>
      </c>
      <c r="L357" s="6" t="inlineStr"/>
      <c r="M357" s="7">
        <f>IF(L357&gt;0,(K357-L357)/K357*100,"")</f>
        <v/>
      </c>
    </row>
    <row r="358">
      <c r="A358" s="2" t="n">
        <v>357</v>
      </c>
      <c r="B358" s="2" t="inlineStr">
        <is>
          <t>76203849159814</t>
        </is>
      </c>
      <c r="C358" s="2" t="inlineStr">
        <is>
          <t>LEJIA CONCENTRADA VARIADO GALON CHEMI</t>
        </is>
      </c>
      <c r="D358" s="2" t="inlineStr">
        <is>
          <t>Limpieza</t>
        </is>
      </c>
      <c r="E358" s="2" t="inlineStr">
        <is>
          <t>Lejías y Desinfectantes</t>
        </is>
      </c>
      <c r="F358" s="2" t="inlineStr">
        <is>
          <t>Lejías</t>
        </is>
      </c>
      <c r="G358" s="3" t="n">
        <v>391</v>
      </c>
      <c r="H358" s="4" t="n">
        <v>46</v>
      </c>
      <c r="I358" s="2" t="n">
        <v>43</v>
      </c>
      <c r="J358" s="5" t="n">
        <v>46113</v>
      </c>
      <c r="K358" s="3" t="n">
        <v>8.5</v>
      </c>
      <c r="L358" s="6" t="inlineStr"/>
      <c r="M358" s="7">
        <f>IF(L358&gt;0,(K358-L358)/K358*100,"")</f>
        <v/>
      </c>
    </row>
    <row r="359">
      <c r="A359" t="n">
        <v>358</v>
      </c>
      <c r="B359" t="inlineStr">
        <is>
          <t>75891958861360</t>
        </is>
      </c>
      <c r="C359" t="inlineStr">
        <is>
          <t>Ambientador Sapolio Spray Lavanda Silvestre 360ML (PQTX12)</t>
        </is>
      </c>
      <c r="D359" t="inlineStr">
        <is>
          <t>Limpieza</t>
        </is>
      </c>
      <c r="E359" t="inlineStr">
        <is>
          <t>Limpiadores Específicos</t>
        </is>
      </c>
      <c r="F359" t="inlineStr">
        <is>
          <t>Ambientadores</t>
        </is>
      </c>
      <c r="G359" s="8" t="n">
        <v>390</v>
      </c>
      <c r="H359" s="9" t="n">
        <v>60</v>
      </c>
      <c r="I359" t="n">
        <v>58</v>
      </c>
      <c r="J359" s="10" t="n">
        <v>46174</v>
      </c>
      <c r="K359" s="8" t="n">
        <v>6.5</v>
      </c>
      <c r="L359" s="6" t="inlineStr"/>
      <c r="M359" s="7">
        <f>IF(L359&gt;0,(K359-L359)/K359*100,"")</f>
        <v/>
      </c>
    </row>
    <row r="360">
      <c r="A360" s="2" t="n">
        <v>359</v>
      </c>
      <c r="B360" s="2" t="inlineStr">
        <is>
          <t>75875160833608</t>
        </is>
      </c>
      <c r="C360" s="2" t="inlineStr">
        <is>
          <t>Detergente Topaz Nueva Formula Aroma Floral 2.5Kg</t>
        </is>
      </c>
      <c r="D360" s="2" t="inlineStr">
        <is>
          <t>Limpieza</t>
        </is>
      </c>
      <c r="E360" s="2" t="inlineStr">
        <is>
          <t>Detergentes y Suavizantes</t>
        </is>
      </c>
      <c r="F360" s="2" t="inlineStr">
        <is>
          <t>Detergentes en Polvo</t>
        </is>
      </c>
      <c r="G360" s="3" t="n">
        <v>389.2</v>
      </c>
      <c r="H360" s="4" t="n">
        <v>28</v>
      </c>
      <c r="I360" s="2" t="n">
        <v>28</v>
      </c>
      <c r="J360" s="5" t="n">
        <v>46175</v>
      </c>
      <c r="K360" s="3" t="n">
        <v>13.9</v>
      </c>
      <c r="L360" s="6" t="inlineStr"/>
      <c r="M360" s="7">
        <f>IF(L360&gt;0,(K360-L360)/K360*100,"")</f>
        <v/>
      </c>
    </row>
    <row r="361">
      <c r="A361" t="n">
        <v>360</v>
      </c>
      <c r="B361" t="inlineStr">
        <is>
          <t>BW60396</t>
        </is>
      </c>
      <c r="C361" t="inlineStr">
        <is>
          <t>BYWIN TOALLITAS HUMEDAS X 100 UND MY LITTLE PONY</t>
        </is>
      </c>
      <c r="D361" t="inlineStr">
        <is>
          <t>Cuidado Personal y Salud</t>
        </is>
      </c>
      <c r="E361" t="inlineStr">
        <is>
          <t>Toallitas Húmedas</t>
        </is>
      </c>
      <c r="F361" t="inlineStr">
        <is>
          <t>Toallitas Húmedas con Licencia</t>
        </is>
      </c>
      <c r="G361" s="8" t="n">
        <v>388.6</v>
      </c>
      <c r="H361" s="9" t="n">
        <v>108</v>
      </c>
      <c r="I361" t="n">
        <v>98</v>
      </c>
      <c r="J361" s="10" t="n">
        <v>46175</v>
      </c>
      <c r="K361" s="8" t="n">
        <v>3.6</v>
      </c>
      <c r="L361" s="6" t="inlineStr"/>
      <c r="M361" s="7">
        <f>IF(L361&gt;0,(K361-L361)/K361*100,"")</f>
        <v/>
      </c>
    </row>
    <row r="362">
      <c r="A362" s="2" t="n">
        <v>361</v>
      </c>
      <c r="B362" s="2" t="inlineStr">
        <is>
          <t>GFXY-2819</t>
        </is>
      </c>
      <c r="C362" s="2" t="inlineStr">
        <is>
          <t>SET CUCHARON ARROZ X3</t>
        </is>
      </c>
      <c r="D362" s="2" t="inlineStr">
        <is>
          <t>Hogar y Decoración</t>
        </is>
      </c>
      <c r="E362" s="2" t="inlineStr">
        <is>
          <t>Menaje de Cocina</t>
        </is>
      </c>
      <c r="F362" s="2" t="inlineStr">
        <is>
          <t>Utensilios de Cocina</t>
        </is>
      </c>
      <c r="G362" s="3" t="n">
        <v>388.2</v>
      </c>
      <c r="H362" s="4" t="n">
        <v>66</v>
      </c>
      <c r="I362" s="2" t="n">
        <v>64</v>
      </c>
      <c r="J362" s="5" t="n">
        <v>46105</v>
      </c>
      <c r="K362" s="3" t="n">
        <v>5.89</v>
      </c>
      <c r="L362" s="6" t="inlineStr"/>
      <c r="M362" s="7">
        <f>IF(L362&gt;0,(K362-L362)/K362*100,"")</f>
        <v/>
      </c>
    </row>
    <row r="363">
      <c r="A363" t="n">
        <v>362</v>
      </c>
      <c r="B363" t="inlineStr">
        <is>
          <t>XD-607</t>
        </is>
      </c>
      <c r="C363" t="inlineStr">
        <is>
          <t>SET CUCHILLO X3 + ACCESORIOS</t>
        </is>
      </c>
      <c r="D363" t="inlineStr">
        <is>
          <t>Hogar y Decoración</t>
        </is>
      </c>
      <c r="E363" t="inlineStr">
        <is>
          <t>Menaje de Cocina</t>
        </is>
      </c>
      <c r="F363" t="inlineStr">
        <is>
          <t>Utensilios de Cocina</t>
        </is>
      </c>
      <c r="G363" s="8" t="n">
        <v>387.2</v>
      </c>
      <c r="H363" s="9" t="n">
        <v>71</v>
      </c>
      <c r="I363" t="n">
        <v>64</v>
      </c>
      <c r="J363" s="10" t="n">
        <v>46102</v>
      </c>
      <c r="K363" s="8" t="n">
        <v>5.48</v>
      </c>
      <c r="L363" s="6" t="inlineStr"/>
      <c r="M363" s="7">
        <f>IF(L363&gt;0,(K363-L363)/K363*100,"")</f>
        <v/>
      </c>
    </row>
    <row r="364">
      <c r="A364" s="2" t="n">
        <v>363</v>
      </c>
      <c r="B364" s="2" t="inlineStr">
        <is>
          <t>234402</t>
        </is>
      </c>
      <c r="C364" s="2" t="inlineStr">
        <is>
          <t>MADISON VITAMINA C MASCARILLA FACIAL 5UND</t>
        </is>
      </c>
      <c r="D364" s="2" t="inlineStr">
        <is>
          <t>Belleza</t>
        </is>
      </c>
      <c r="E364" s="2" t="inlineStr">
        <is>
          <t>Cuidado Facial</t>
        </is>
      </c>
      <c r="F364" s="2" t="inlineStr">
        <is>
          <t>Mascarillas Faciales</t>
        </is>
      </c>
      <c r="G364" s="3" t="n">
        <v>385</v>
      </c>
      <c r="H364" s="4" t="n">
        <v>110</v>
      </c>
      <c r="I364" s="2" t="n">
        <v>102</v>
      </c>
      <c r="J364" s="5" t="n">
        <v>46178</v>
      </c>
      <c r="K364" s="3" t="n">
        <v>3.5</v>
      </c>
      <c r="L364" s="6" t="inlineStr"/>
      <c r="M364" s="7">
        <f>IF(L364&gt;0,(K364-L364)/K364*100,"")</f>
        <v/>
      </c>
    </row>
    <row r="365">
      <c r="A365" t="n">
        <v>364</v>
      </c>
      <c r="B365" t="inlineStr">
        <is>
          <t>KLL-80</t>
        </is>
      </c>
      <c r="C365" t="inlineStr">
        <is>
          <t>COLORES NORMAL X12 YANG</t>
        </is>
      </c>
      <c r="D365" t="inlineStr">
        <is>
          <t>Librería y Oficina</t>
        </is>
      </c>
      <c r="E365" t="inlineStr">
        <is>
          <t>Útiles Escolares</t>
        </is>
      </c>
      <c r="F365" t="inlineStr">
        <is>
          <t>Colores y Crayolas</t>
        </is>
      </c>
      <c r="G365" s="8" t="n">
        <v>384.96</v>
      </c>
      <c r="H365" s="9" t="n">
        <v>122</v>
      </c>
      <c r="I365" t="n">
        <v>60</v>
      </c>
      <c r="J365" s="10" t="n">
        <v>46176</v>
      </c>
      <c r="K365" s="8" t="n">
        <v>3.18</v>
      </c>
      <c r="L365" s="6" t="inlineStr"/>
      <c r="M365" s="7">
        <f>IF(L365&gt;0,(K365-L365)/K365*100,"")</f>
        <v/>
      </c>
    </row>
    <row r="366">
      <c r="A366" s="2" t="n">
        <v>365</v>
      </c>
      <c r="B366" s="2" t="inlineStr">
        <is>
          <t>HP-116</t>
        </is>
      </c>
      <c r="C366" s="2" t="inlineStr">
        <is>
          <t>Maceta rectangular plástico rojo ladrillo</t>
        </is>
      </c>
      <c r="D366" s="2" t="inlineStr">
        <is>
          <t>Mejoramiento del Hogar</t>
        </is>
      </c>
      <c r="E366" s="2" t="inlineStr">
        <is>
          <t>Jardín</t>
        </is>
      </c>
      <c r="F366" s="2" t="inlineStr">
        <is>
          <t>Maceteros</t>
        </is>
      </c>
      <c r="G366" s="3" t="n">
        <v>383.62</v>
      </c>
      <c r="H366" s="4" t="n">
        <v>56</v>
      </c>
      <c r="I366" s="2" t="n">
        <v>31</v>
      </c>
      <c r="J366" s="5" t="n">
        <v>46172</v>
      </c>
      <c r="K366" s="3" t="n">
        <v>6.87</v>
      </c>
      <c r="L366" s="6" t="inlineStr"/>
      <c r="M366" s="7">
        <f>IF(L366&gt;0,(K366-L366)/K366*100,"")</f>
        <v/>
      </c>
    </row>
    <row r="367">
      <c r="A367" t="n">
        <v>366</v>
      </c>
      <c r="B367" t="inlineStr">
        <is>
          <t>76203884695478</t>
        </is>
      </c>
      <c r="C367" t="inlineStr">
        <is>
          <t>Ambientador Sapolio Spray Arrullos de Bebé 360ML</t>
        </is>
      </c>
      <c r="D367" t="inlineStr">
        <is>
          <t>Limpieza</t>
        </is>
      </c>
      <c r="E367" t="inlineStr">
        <is>
          <t>Limpiadores Específicos</t>
        </is>
      </c>
      <c r="F367" t="inlineStr">
        <is>
          <t>Ambientadores</t>
        </is>
      </c>
      <c r="G367" s="8" t="n">
        <v>383.5</v>
      </c>
      <c r="H367" s="9" t="n">
        <v>59</v>
      </c>
      <c r="I367" t="n">
        <v>58</v>
      </c>
      <c r="J367" s="10" t="n">
        <v>46177</v>
      </c>
      <c r="K367" s="8" t="n">
        <v>6.5</v>
      </c>
      <c r="L367" s="6" t="inlineStr"/>
      <c r="M367" s="7">
        <f>IF(L367&gt;0,(K367-L367)/K367*100,"")</f>
        <v/>
      </c>
    </row>
    <row r="368">
      <c r="A368" s="2" t="n">
        <v>367</v>
      </c>
      <c r="B368" s="2" t="inlineStr">
        <is>
          <t>2018-A</t>
        </is>
      </c>
      <c r="C368" s="2" t="inlineStr">
        <is>
          <t>TAJADOR + 1 BORRADOR</t>
        </is>
      </c>
      <c r="D368" s="2" t="inlineStr">
        <is>
          <t>Librería y Oficina</t>
        </is>
      </c>
      <c r="E368" s="2" t="inlineStr">
        <is>
          <t>Útiles Escolares</t>
        </is>
      </c>
      <c r="F368" s="2" t="inlineStr">
        <is>
          <t>Borradores y Tajadores</t>
        </is>
      </c>
      <c r="G368" s="3" t="n">
        <v>383.43</v>
      </c>
      <c r="H368" s="4" t="n">
        <v>110</v>
      </c>
      <c r="I368" s="2" t="n">
        <v>108</v>
      </c>
      <c r="J368" s="5" t="n">
        <v>46163</v>
      </c>
      <c r="K368" s="3" t="n">
        <v>3.49</v>
      </c>
      <c r="L368" s="6" t="inlineStr"/>
      <c r="M368" s="7">
        <f>IF(L368&gt;0,(K368-L368)/K368*100,"")</f>
        <v/>
      </c>
    </row>
    <row r="369">
      <c r="A369" t="n">
        <v>368</v>
      </c>
      <c r="B369" t="inlineStr">
        <is>
          <t>MEKA-14</t>
        </is>
      </c>
      <c r="C369" t="inlineStr">
        <is>
          <t>CINTA EMBALAJE 70 X6</t>
        </is>
      </c>
      <c r="D369" t="inlineStr">
        <is>
          <t>Librería y Oficina</t>
        </is>
      </c>
      <c r="E369" t="inlineStr">
        <is>
          <t>Útiles Escolares</t>
        </is>
      </c>
      <c r="F369" t="inlineStr">
        <is>
          <t>Cintas y Contact</t>
        </is>
      </c>
      <c r="G369" s="8" t="n">
        <v>381.5</v>
      </c>
      <c r="H369" s="9" t="n">
        <v>35</v>
      </c>
      <c r="I369" t="n">
        <v>28</v>
      </c>
      <c r="J369" s="10" t="n">
        <v>46101</v>
      </c>
      <c r="K369" s="8" t="n">
        <v>10.9</v>
      </c>
      <c r="L369" s="6" t="inlineStr"/>
      <c r="M369" s="7">
        <f>IF(L369&gt;0,(K369-L369)/K369*100,"")</f>
        <v/>
      </c>
    </row>
    <row r="370">
      <c r="A370" s="2" t="n">
        <v>369</v>
      </c>
      <c r="B370" s="2" t="inlineStr">
        <is>
          <t>AR16374505</t>
        </is>
      </c>
      <c r="C370" s="2" t="inlineStr">
        <is>
          <t>PLUMON ARTESCO ACRILICOS X 24 (DOCENA)</t>
        </is>
      </c>
      <c r="D370" s="2" t="inlineStr">
        <is>
          <t>Librería y Oficina</t>
        </is>
      </c>
      <c r="E370" s="2" t="inlineStr">
        <is>
          <t>Útiles Escolares</t>
        </is>
      </c>
      <c r="F370" s="2" t="inlineStr">
        <is>
          <t>Plumones y Marcadores</t>
        </is>
      </c>
      <c r="G370" s="3" t="n">
        <v>379</v>
      </c>
      <c r="H370" s="4" t="n">
        <v>10</v>
      </c>
      <c r="I370" s="2" t="n">
        <v>10</v>
      </c>
      <c r="J370" s="5" t="n">
        <v>46095</v>
      </c>
      <c r="K370" s="3" t="n">
        <v>37.9</v>
      </c>
      <c r="L370" s="6" t="inlineStr"/>
      <c r="M370" s="7">
        <f>IF(L370&gt;0,(K370-L370)/K370*100,"")</f>
        <v/>
      </c>
    </row>
    <row r="371">
      <c r="A371" t="n">
        <v>370</v>
      </c>
      <c r="B371" t="inlineStr">
        <is>
          <t>77410656602851</t>
        </is>
      </c>
      <c r="C371" t="inlineStr">
        <is>
          <t>Quitamanchas Líquido Sapolio Ropa Color 550Ml. (PQTX12)</t>
        </is>
      </c>
      <c r="D371" t="inlineStr">
        <is>
          <t>Limpieza</t>
        </is>
      </c>
      <c r="E371" t="inlineStr">
        <is>
          <t>Limpiadores Específicos</t>
        </is>
      </c>
      <c r="F371" t="inlineStr">
        <is>
          <t>Quitamanchas</t>
        </is>
      </c>
      <c r="G371" s="8" t="n">
        <v>378</v>
      </c>
      <c r="H371" s="9" t="n">
        <v>108</v>
      </c>
      <c r="I371" t="n">
        <v>105</v>
      </c>
      <c r="J371" s="10" t="n">
        <v>46178</v>
      </c>
      <c r="K371" s="8" t="n">
        <v>3.5</v>
      </c>
      <c r="L371" s="6" t="inlineStr"/>
      <c r="M371" s="7">
        <f>IF(L371&gt;0,(K371-L371)/K371*100,"")</f>
        <v/>
      </c>
    </row>
    <row r="372">
      <c r="A372" s="2" t="n">
        <v>371</v>
      </c>
      <c r="B372" s="2" t="inlineStr">
        <is>
          <t>MOL801206</t>
        </is>
      </c>
      <c r="C372" s="2" t="inlineStr">
        <is>
          <t>Chocolate Costa Vizzio Gragea Mix 122Gr. Estuche</t>
        </is>
      </c>
      <c r="D372" s="2" t="inlineStr">
        <is>
          <t>Abarrotes</t>
        </is>
      </c>
      <c r="E372" s="2" t="inlineStr">
        <is>
          <t>Dulces y Chocolates</t>
        </is>
      </c>
      <c r="F372" s="2" t="inlineStr">
        <is>
          <t>Chocolates</t>
        </is>
      </c>
      <c r="G372" s="3" t="n">
        <v>378</v>
      </c>
      <c r="H372" s="4" t="n">
        <v>36</v>
      </c>
      <c r="I372" s="2" t="n">
        <v>30</v>
      </c>
      <c r="J372" s="5" t="n">
        <v>46176</v>
      </c>
      <c r="K372" s="3" t="n">
        <v>10.5</v>
      </c>
      <c r="L372" s="6" t="inlineStr"/>
      <c r="M372" s="7">
        <f>IF(L372&gt;0,(K372-L372)/K372*100,"")</f>
        <v/>
      </c>
    </row>
    <row r="373">
      <c r="A373" t="n">
        <v>372</v>
      </c>
      <c r="B373" t="inlineStr">
        <is>
          <t>881955</t>
        </is>
      </c>
      <c r="C373" t="inlineStr">
        <is>
          <t>CUAD ANILL A4 140H DIS T/L MUJER SURCO 004-023079(2CX25)</t>
        </is>
      </c>
      <c r="D373" t="inlineStr">
        <is>
          <t>Librería y Oficina</t>
        </is>
      </c>
      <c r="E373" t="inlineStr">
        <is>
          <t>Útiles Escolares</t>
        </is>
      </c>
      <c r="F373" t="inlineStr">
        <is>
          <t>Cuadernos y Blocks</t>
        </is>
      </c>
      <c r="G373" s="8" t="n">
        <v>377.6</v>
      </c>
      <c r="H373" s="9" t="n">
        <v>32</v>
      </c>
      <c r="I373" t="n">
        <v>29</v>
      </c>
      <c r="J373" s="10" t="n">
        <v>46117</v>
      </c>
      <c r="K373" s="8" t="n">
        <v>11.78</v>
      </c>
      <c r="L373" s="6" t="inlineStr"/>
      <c r="M373" s="7">
        <f>IF(L373&gt;0,(K373-L373)/K373*100,"")</f>
        <v/>
      </c>
    </row>
    <row r="374">
      <c r="A374" s="2" t="n">
        <v>373</v>
      </c>
      <c r="B374" s="2" t="inlineStr">
        <is>
          <t>F018</t>
        </is>
      </c>
      <c r="C374" s="2" t="inlineStr">
        <is>
          <t>DISPENSADOR PLASTICO</t>
        </is>
      </c>
      <c r="D374" s="2" t="inlineStr">
        <is>
          <t>Hogar y Decoración</t>
        </is>
      </c>
      <c r="E374" s="2" t="inlineStr">
        <is>
          <t>Menaje de Cocina</t>
        </is>
      </c>
      <c r="F374" s="2" t="inlineStr">
        <is>
          <t>Dispensadores y Organizadores de Cocina</t>
        </is>
      </c>
      <c r="G374" s="3" t="n">
        <v>377.5</v>
      </c>
      <c r="H374" s="4" t="n">
        <v>69</v>
      </c>
      <c r="I374" s="2" t="n">
        <v>29</v>
      </c>
      <c r="J374" s="5" t="n">
        <v>46111</v>
      </c>
      <c r="K374" s="3" t="n">
        <v>5.48</v>
      </c>
      <c r="L374" s="6" t="inlineStr"/>
      <c r="M374" s="7">
        <f>IF(L374&gt;0,(K374-L374)/K374*100,"")</f>
        <v/>
      </c>
    </row>
    <row r="375">
      <c r="A375" t="n">
        <v>374</v>
      </c>
      <c r="B375" t="inlineStr">
        <is>
          <t>360233</t>
        </is>
      </c>
      <c r="C375" t="inlineStr">
        <is>
          <t>ME TOO GOLDEN BLUSH EDT 50ML</t>
        </is>
      </c>
      <c r="D375" t="inlineStr">
        <is>
          <t>Belleza</t>
        </is>
      </c>
      <c r="E375" t="inlineStr">
        <is>
          <t>Perfumes y Fragancias</t>
        </is>
      </c>
      <c r="F375" t="inlineStr">
        <is>
          <t>Perfumes para Hombre</t>
        </is>
      </c>
      <c r="G375" s="8" t="n">
        <v>371.8</v>
      </c>
      <c r="H375" s="9" t="n">
        <v>22</v>
      </c>
      <c r="I375" t="n">
        <v>22</v>
      </c>
      <c r="J375" s="10" t="n">
        <v>46153</v>
      </c>
      <c r="K375" s="8" t="n">
        <v>16.9</v>
      </c>
      <c r="L375" s="6" t="inlineStr"/>
      <c r="M375" s="7">
        <f>IF(L375&gt;0,(K375-L375)/K375*100,"")</f>
        <v/>
      </c>
    </row>
    <row r="376">
      <c r="A376" s="2" t="n">
        <v>375</v>
      </c>
      <c r="B376" s="2" t="inlineStr">
        <is>
          <t>MER-1496</t>
        </is>
      </c>
      <c r="C376" s="2" t="inlineStr">
        <is>
          <t>GRAPA X5000 MERCYFAND</t>
        </is>
      </c>
      <c r="D376" s="2" t="inlineStr">
        <is>
          <t>Librería y Oficina</t>
        </is>
      </c>
      <c r="E376" s="2" t="inlineStr">
        <is>
          <t>Útiles Escolares</t>
        </is>
      </c>
      <c r="F376" s="2" t="inlineStr">
        <is>
          <t>Papelería Variada</t>
        </is>
      </c>
      <c r="G376" s="3" t="n">
        <v>371.36</v>
      </c>
      <c r="H376" s="4" t="n">
        <v>89</v>
      </c>
      <c r="I376" s="2" t="n">
        <v>85</v>
      </c>
      <c r="J376" s="5" t="n">
        <v>46130</v>
      </c>
      <c r="K376" s="3" t="n">
        <v>4.18</v>
      </c>
      <c r="L376" s="6" t="inlineStr"/>
      <c r="M376" s="7">
        <f>IF(L376&gt;0,(K376-L376)/K376*100,"")</f>
        <v/>
      </c>
    </row>
    <row r="377">
      <c r="A377" t="n">
        <v>376</v>
      </c>
      <c r="B377" t="inlineStr">
        <is>
          <t>74931687418336</t>
        </is>
      </c>
      <c r="C377" t="inlineStr">
        <is>
          <t>JABÓN REJUVENECE ARROZ LA COOPER</t>
        </is>
      </c>
      <c r="D377" t="inlineStr">
        <is>
          <t>Belleza</t>
        </is>
      </c>
      <c r="E377" t="inlineStr">
        <is>
          <t>Cuidado de la Piel Corporal</t>
        </is>
      </c>
      <c r="F377" t="inlineStr">
        <is>
          <t>Jabones Faciales</t>
        </is>
      </c>
      <c r="G377" s="8" t="n">
        <v>370.5</v>
      </c>
      <c r="H377" s="9" t="n">
        <v>57</v>
      </c>
      <c r="I377" t="n">
        <v>50</v>
      </c>
      <c r="J377" s="10" t="n">
        <v>46143</v>
      </c>
      <c r="K377" s="8" t="n">
        <v>6.5</v>
      </c>
      <c r="L377" s="6" t="inlineStr"/>
      <c r="M377" s="7">
        <f>IF(L377&gt;0,(K377-L377)/K377*100,"")</f>
        <v/>
      </c>
    </row>
    <row r="378">
      <c r="A378" s="2" t="n">
        <v>377</v>
      </c>
      <c r="B378" s="2" t="inlineStr">
        <is>
          <t>77240956638547</t>
        </is>
      </c>
      <c r="C378" s="2" t="inlineStr">
        <is>
          <t>Gomitas Ambrosoli Frugele</t>
        </is>
      </c>
      <c r="D378" s="2" t="inlineStr">
        <is>
          <t>Abarrotes</t>
        </is>
      </c>
      <c r="E378" s="2" t="inlineStr">
        <is>
          <t>Dulces y Chocolates</t>
        </is>
      </c>
      <c r="F378" s="2" t="inlineStr">
        <is>
          <t>Gomitas</t>
        </is>
      </c>
      <c r="G378" s="3" t="n">
        <v>370.5</v>
      </c>
      <c r="H378" s="4" t="n">
        <v>39</v>
      </c>
      <c r="I378" s="2" t="n">
        <v>38</v>
      </c>
      <c r="J378" s="5" t="n">
        <v>46117</v>
      </c>
      <c r="K378" s="3" t="n">
        <v>9.5</v>
      </c>
      <c r="L378" s="6" t="inlineStr"/>
      <c r="M378" s="7">
        <f>IF(L378&gt;0,(K378-L378)/K378*100,"")</f>
        <v/>
      </c>
    </row>
    <row r="379">
      <c r="A379" t="n">
        <v>378</v>
      </c>
      <c r="B379" t="inlineStr">
        <is>
          <t>75755617774001</t>
        </is>
      </c>
      <c r="C379" t="inlineStr">
        <is>
          <t>Bebida Frutada Con Mango Baolisu 23</t>
        </is>
      </c>
      <c r="D379" t="inlineStr">
        <is>
          <t>Alimentos y Bebidas Importadas</t>
        </is>
      </c>
      <c r="E379" t="inlineStr">
        <is>
          <t>Bebidas Asiáticas</t>
        </is>
      </c>
      <c r="F379" t="inlineStr">
        <is>
          <t>Jugo y Nata de Coco</t>
        </is>
      </c>
      <c r="G379" s="8" t="n">
        <v>370.2</v>
      </c>
      <c r="H379" s="9" t="n">
        <v>83</v>
      </c>
      <c r="I379" t="n">
        <v>78</v>
      </c>
      <c r="J379" s="10" t="n">
        <v>46163</v>
      </c>
      <c r="K379" s="8" t="n">
        <v>4.46</v>
      </c>
      <c r="L379" s="6" t="inlineStr"/>
      <c r="M379" s="7">
        <f>IF(L379&gt;0,(K379-L379)/K379*100,"")</f>
        <v/>
      </c>
    </row>
    <row r="380">
      <c r="A380" s="2" t="n">
        <v>379</v>
      </c>
      <c r="B380" s="2" t="inlineStr">
        <is>
          <t>3802</t>
        </is>
      </c>
      <c r="C380" s="2" t="inlineStr">
        <is>
          <t>BURBUJAS DINOSAURIO</t>
        </is>
      </c>
      <c r="D380" s="2" t="inlineStr">
        <is>
          <t>Juguetes y Juegos</t>
        </is>
      </c>
      <c r="E380" s="2" t="inlineStr">
        <is>
          <t>Juguetes</t>
        </is>
      </c>
      <c r="F380" s="2" t="inlineStr">
        <is>
          <t>Burbujas</t>
        </is>
      </c>
      <c r="G380" s="3" t="n">
        <v>370.1</v>
      </c>
      <c r="H380" s="4" t="n">
        <v>186</v>
      </c>
      <c r="I380" s="2" t="n">
        <v>127</v>
      </c>
      <c r="J380" s="5" t="n">
        <v>46140</v>
      </c>
      <c r="K380" s="3" t="n">
        <v>2</v>
      </c>
      <c r="L380" s="6" t="inlineStr"/>
      <c r="M380" s="7">
        <f>IF(L380&gt;0,(K380-L380)/K380*100,"")</f>
        <v/>
      </c>
    </row>
    <row r="381">
      <c r="A381" t="n">
        <v>380</v>
      </c>
      <c r="B381" t="inlineStr">
        <is>
          <t>MO-9828</t>
        </is>
      </c>
      <c r="C381" t="inlineStr">
        <is>
          <t>PLATO</t>
        </is>
      </c>
      <c r="D381" t="inlineStr">
        <is>
          <t>Hogar y Decoración</t>
        </is>
      </c>
      <c r="E381" t="inlineStr">
        <is>
          <t>Menaje de Comedor</t>
        </is>
      </c>
      <c r="F381" t="inlineStr">
        <is>
          <t>Platos y Fuentes</t>
        </is>
      </c>
      <c r="G381" s="8" t="n">
        <v>369.33</v>
      </c>
      <c r="H381" s="9" t="n">
        <v>95</v>
      </c>
      <c r="I381" t="n">
        <v>41</v>
      </c>
      <c r="J381" s="10" t="n">
        <v>46148</v>
      </c>
      <c r="K381" s="8" t="n">
        <v>3.9</v>
      </c>
      <c r="L381" s="6" t="inlineStr"/>
      <c r="M381" s="7">
        <f>IF(L381&gt;0,(K381-L381)/K381*100,"")</f>
        <v/>
      </c>
    </row>
    <row r="382">
      <c r="A382" s="2" t="n">
        <v>381</v>
      </c>
      <c r="B382" s="2" t="inlineStr">
        <is>
          <t>230702</t>
        </is>
      </c>
      <c r="C382" s="2" t="inlineStr">
        <is>
          <t>MADISON TOALLITAS DESMAQUILLANTES 25UND (X96)</t>
        </is>
      </c>
      <c r="D382" s="2" t="inlineStr">
        <is>
          <t>Belleza</t>
        </is>
      </c>
      <c r="E382" s="2" t="inlineStr">
        <is>
          <t>Cuidado Facial</t>
        </is>
      </c>
      <c r="F382" s="2" t="inlineStr">
        <is>
          <t>Desmaquillantes</t>
        </is>
      </c>
      <c r="G382" s="3" t="n">
        <v>364.8</v>
      </c>
      <c r="H382" s="4" t="n">
        <v>192</v>
      </c>
      <c r="I382" s="2" t="n">
        <v>158</v>
      </c>
      <c r="J382" s="5" t="n">
        <v>46173</v>
      </c>
      <c r="K382" s="3" t="n">
        <v>1.9</v>
      </c>
      <c r="L382" s="6" t="inlineStr"/>
      <c r="M382" s="7">
        <f>IF(L382&gt;0,(K382-L382)/K382*100,"")</f>
        <v/>
      </c>
    </row>
    <row r="383">
      <c r="A383" t="n">
        <v>382</v>
      </c>
      <c r="B383" t="inlineStr">
        <is>
          <t>R2-091</t>
        </is>
      </c>
      <c r="C383" t="inlineStr">
        <is>
          <t>SET PINCEL X12 NAYRA</t>
        </is>
      </c>
      <c r="D383" t="inlineStr">
        <is>
          <t>Librería y Oficina</t>
        </is>
      </c>
      <c r="E383" t="inlineStr">
        <is>
          <t>Útiles Escolares</t>
        </is>
      </c>
      <c r="F383" t="inlineStr">
        <is>
          <t>Pinceles y Brochas Escolares</t>
        </is>
      </c>
      <c r="G383" s="8" t="n">
        <v>364.26</v>
      </c>
      <c r="H383" s="9" t="n">
        <v>124</v>
      </c>
      <c r="I383" t="n">
        <v>97</v>
      </c>
      <c r="J383" s="10" t="n">
        <v>46102</v>
      </c>
      <c r="K383" s="8" t="n">
        <v>2.98</v>
      </c>
      <c r="L383" s="6" t="inlineStr"/>
      <c r="M383" s="7">
        <f>IF(L383&gt;0,(K383-L383)/K383*100,"")</f>
        <v/>
      </c>
    </row>
    <row r="384">
      <c r="A384" s="2" t="n">
        <v>383</v>
      </c>
      <c r="B384" s="2" t="inlineStr">
        <is>
          <t>77204702036943</t>
        </is>
      </c>
      <c r="C384" s="2" t="inlineStr">
        <is>
          <t>Galleta C/crema Chocolate y leche Hengyu</t>
        </is>
      </c>
      <c r="D384" s="2" t="inlineStr">
        <is>
          <t>Alimentos y Bebidas Importadas</t>
        </is>
      </c>
      <c r="E384" s="2" t="inlineStr">
        <is>
          <t>Snacks y Dulces Asiáticos</t>
        </is>
      </c>
      <c r="F384" s="2" t="inlineStr">
        <is>
          <t>Galletas y Bocaditos Dulces</t>
        </is>
      </c>
      <c r="G384" s="3" t="n">
        <v>363.4</v>
      </c>
      <c r="H384" s="4" t="n">
        <v>46</v>
      </c>
      <c r="I384" s="2" t="n">
        <v>45</v>
      </c>
      <c r="J384" s="5" t="n">
        <v>46142</v>
      </c>
      <c r="K384" s="3" t="n">
        <v>7.9</v>
      </c>
      <c r="L384" s="6" t="inlineStr"/>
      <c r="M384" s="7">
        <f>IF(L384&gt;0,(K384-L384)/K384*100,"")</f>
        <v/>
      </c>
    </row>
    <row r="385">
      <c r="A385" t="n">
        <v>384</v>
      </c>
      <c r="B385" t="inlineStr">
        <is>
          <t>704417</t>
        </is>
      </c>
      <c r="C385" t="inlineStr">
        <is>
          <t>25 SCOOL INV KOMBAT BOTELLA PP S/CAÑA 450ML KUROMI</t>
        </is>
      </c>
      <c r="D385" t="inlineStr">
        <is>
          <t>Librería y Oficina</t>
        </is>
      </c>
      <c r="E385" t="inlineStr">
        <is>
          <t>Loncheras y Taperes Escolares</t>
        </is>
      </c>
      <c r="F385" t="inlineStr">
        <is>
          <t>Botellas Escolares</t>
        </is>
      </c>
      <c r="G385" s="8" t="n">
        <v>363.4</v>
      </c>
      <c r="H385" s="9" t="n">
        <v>46</v>
      </c>
      <c r="I385" t="n">
        <v>44</v>
      </c>
      <c r="J385" s="10" t="n">
        <v>46137</v>
      </c>
      <c r="K385" s="8" t="n">
        <v>7.9</v>
      </c>
      <c r="L385" s="6" t="inlineStr"/>
      <c r="M385" s="7">
        <f>IF(L385&gt;0,(K385-L385)/K385*100,"")</f>
        <v/>
      </c>
    </row>
    <row r="386">
      <c r="A386" s="2" t="n">
        <v>385</v>
      </c>
      <c r="B386" s="2" t="inlineStr">
        <is>
          <t>704445</t>
        </is>
      </c>
      <c r="C386" s="2" t="inlineStr">
        <is>
          <t>25 SCOOL INV KOMBAT BOTELLA PP S/CAÑA 450ML MINECRAFT</t>
        </is>
      </c>
      <c r="D386" s="2" t="inlineStr">
        <is>
          <t>Librería y Oficina</t>
        </is>
      </c>
      <c r="E386" s="2" t="inlineStr">
        <is>
          <t>Loncheras y Taperes Escolares</t>
        </is>
      </c>
      <c r="F386" s="2" t="inlineStr">
        <is>
          <t>Botellas Escolares</t>
        </is>
      </c>
      <c r="G386" s="3" t="n">
        <v>362.61</v>
      </c>
      <c r="H386" s="4" t="n">
        <v>46</v>
      </c>
      <c r="I386" s="2" t="n">
        <v>44</v>
      </c>
      <c r="J386" s="5" t="n">
        <v>46158</v>
      </c>
      <c r="K386" s="3" t="n">
        <v>7.88</v>
      </c>
      <c r="L386" s="6" t="inlineStr"/>
      <c r="M386" s="7">
        <f>IF(L386&gt;0,(K386-L386)/K386*100,"")</f>
        <v/>
      </c>
    </row>
    <row r="387">
      <c r="A387" t="n">
        <v>386</v>
      </c>
      <c r="B387" t="inlineStr">
        <is>
          <t>704422</t>
        </is>
      </c>
      <c r="C387" t="inlineStr">
        <is>
          <t>25 SCOOL INV KOMBAT BOTELLA PP S/CAÑA 450ML POMPOMPL</t>
        </is>
      </c>
      <c r="D387" t="inlineStr">
        <is>
          <t>Librería y Oficina</t>
        </is>
      </c>
      <c r="E387" t="inlineStr">
        <is>
          <t>Loncheras y Taperes Escolares</t>
        </is>
      </c>
      <c r="F387" t="inlineStr">
        <is>
          <t>Botellas Escolares</t>
        </is>
      </c>
      <c r="G387" s="8" t="n">
        <v>362.5</v>
      </c>
      <c r="H387" s="9" t="n">
        <v>46</v>
      </c>
      <c r="I387" t="n">
        <v>43</v>
      </c>
      <c r="J387" s="10" t="n">
        <v>46169</v>
      </c>
      <c r="K387" s="8" t="n">
        <v>7.88</v>
      </c>
      <c r="L387" s="6" t="inlineStr"/>
      <c r="M387" s="7">
        <f>IF(L387&gt;0,(K387-L387)/K387*100,"")</f>
        <v/>
      </c>
    </row>
    <row r="388">
      <c r="A388" s="2" t="n">
        <v>387</v>
      </c>
      <c r="B388" s="2" t="inlineStr">
        <is>
          <t>704421</t>
        </is>
      </c>
      <c r="C388" s="2" t="inlineStr">
        <is>
          <t>25 SCOOL INV KOMBAT BOTELLA PP S/CAÑA 450ML POCHACCC</t>
        </is>
      </c>
      <c r="D388" s="2" t="inlineStr">
        <is>
          <t>Librería y Oficina</t>
        </is>
      </c>
      <c r="E388" s="2" t="inlineStr">
        <is>
          <t>Loncheras y Taperes Escolares</t>
        </is>
      </c>
      <c r="F388" s="2" t="inlineStr">
        <is>
          <t>Botellas Escolares</t>
        </is>
      </c>
      <c r="G388" s="3" t="n">
        <v>361.6</v>
      </c>
      <c r="H388" s="4" t="n">
        <v>46</v>
      </c>
      <c r="I388" s="2" t="n">
        <v>45</v>
      </c>
      <c r="J388" s="5" t="n">
        <v>46175</v>
      </c>
      <c r="K388" s="3" t="n">
        <v>7.88</v>
      </c>
      <c r="L388" s="6" t="inlineStr"/>
      <c r="M388" s="7">
        <f>IF(L388&gt;0,(K388-L388)/K388*100,"")</f>
        <v/>
      </c>
    </row>
    <row r="389">
      <c r="A389" t="n">
        <v>388</v>
      </c>
      <c r="B389" t="inlineStr">
        <is>
          <t>75755617840645</t>
        </is>
      </c>
      <c r="C389" t="inlineStr">
        <is>
          <t>Bebida de Aloe Vera Sabor Original Baoli</t>
        </is>
      </c>
      <c r="D389" t="inlineStr">
        <is>
          <t>Alimentos y Bebidas Importadas</t>
        </is>
      </c>
      <c r="E389" t="inlineStr">
        <is>
          <t>Bebidas Asiáticas</t>
        </is>
      </c>
      <c r="F389" t="inlineStr">
        <is>
          <t>Aloe Vera</t>
        </is>
      </c>
      <c r="G389" s="8" t="n">
        <v>360</v>
      </c>
      <c r="H389" s="9" t="n">
        <v>60</v>
      </c>
      <c r="I389" t="n">
        <v>57</v>
      </c>
      <c r="J389" s="10" t="n">
        <v>46177</v>
      </c>
      <c r="K389" s="8" t="n">
        <v>6</v>
      </c>
      <c r="L389" s="6" t="inlineStr"/>
      <c r="M389" s="7">
        <f>IF(L389&gt;0,(K389-L389)/K389*100,"")</f>
        <v/>
      </c>
    </row>
    <row r="390">
      <c r="A390" s="2" t="n">
        <v>389</v>
      </c>
      <c r="B390" s="2" t="inlineStr">
        <is>
          <t>704412</t>
        </is>
      </c>
      <c r="C390" s="2" t="inlineStr">
        <is>
          <t>25 SCOOL INV KOMBAT BOTELLA PP S/CAÑA 450ML CINNAMOR</t>
        </is>
      </c>
      <c r="D390" s="2" t="inlineStr">
        <is>
          <t>Librería y Oficina</t>
        </is>
      </c>
      <c r="E390" s="2" t="inlineStr">
        <is>
          <t>Loncheras y Taperes Escolares</t>
        </is>
      </c>
      <c r="F390" s="2" t="inlineStr">
        <is>
          <t>Botellas Escolares</t>
        </is>
      </c>
      <c r="G390" s="3" t="n">
        <v>359.91</v>
      </c>
      <c r="H390" s="4" t="n">
        <v>46</v>
      </c>
      <c r="I390" s="2" t="n">
        <v>42</v>
      </c>
      <c r="J390" s="5" t="n">
        <v>46176</v>
      </c>
      <c r="K390" s="3" t="n">
        <v>7.86</v>
      </c>
      <c r="L390" s="6" t="inlineStr"/>
      <c r="M390" s="7">
        <f>IF(L390&gt;0,(K390-L390)/K390*100,"")</f>
        <v/>
      </c>
    </row>
    <row r="391">
      <c r="A391" t="n">
        <v>390</v>
      </c>
      <c r="B391" t="inlineStr">
        <is>
          <t>STANC-01</t>
        </is>
      </c>
      <c r="C391" t="inlineStr">
        <is>
          <t>Cuadernos Stanford de luxe A4 80H Kinder kids 2x2</t>
        </is>
      </c>
      <c r="D391" t="inlineStr">
        <is>
          <t>Librería y Oficina</t>
        </is>
      </c>
      <c r="E391" t="inlineStr">
        <is>
          <t>Útiles Escolares</t>
        </is>
      </c>
      <c r="F391" t="inlineStr">
        <is>
          <t>Cuadernos y Blocks</t>
        </is>
      </c>
      <c r="G391" s="8" t="n">
        <v>359.9</v>
      </c>
      <c r="H391" s="9" t="n">
        <v>61</v>
      </c>
      <c r="I391" t="n">
        <v>45</v>
      </c>
      <c r="J391" s="10" t="n">
        <v>46110</v>
      </c>
      <c r="K391" s="8" t="n">
        <v>5.9</v>
      </c>
      <c r="L391" s="6" t="inlineStr"/>
      <c r="M391" s="7">
        <f>IF(L391&gt;0,(K391-L391)/K391*100,"")</f>
        <v/>
      </c>
    </row>
    <row r="392">
      <c r="A392" s="2" t="n">
        <v>391</v>
      </c>
      <c r="B392" s="2" t="inlineStr">
        <is>
          <t>75053940938320</t>
        </is>
      </c>
      <c r="C392" s="2" t="inlineStr">
        <is>
          <t>CELOFAN</t>
        </is>
      </c>
      <c r="D392" s="2" t="inlineStr">
        <is>
          <t>Librería y Oficina</t>
        </is>
      </c>
      <c r="E392" s="2" t="inlineStr">
        <is>
          <t>Útiles Escolares</t>
        </is>
      </c>
      <c r="F392" s="2" t="inlineStr">
        <is>
          <t>Colores, Forros y Papelería Escolar</t>
        </is>
      </c>
      <c r="G392" s="3" t="n">
        <v>357.1</v>
      </c>
      <c r="H392" s="4" t="n">
        <v>817</v>
      </c>
      <c r="I392" s="2" t="n">
        <v>71</v>
      </c>
      <c r="J392" s="5" t="n">
        <v>46152</v>
      </c>
      <c r="K392" s="3" t="n">
        <v>0.47</v>
      </c>
      <c r="L392" s="6" t="inlineStr"/>
      <c r="M392" s="7">
        <f>IF(L392&gt;0,(K392-L392)/K392*100,"")</f>
        <v/>
      </c>
    </row>
    <row r="393">
      <c r="A393" t="n">
        <v>392</v>
      </c>
      <c r="B393" t="inlineStr">
        <is>
          <t>75891959015554</t>
        </is>
      </c>
      <c r="C393" t="inlineStr">
        <is>
          <t>Chupete Ambrosoli Chupetín Colorado Surtido x24</t>
        </is>
      </c>
      <c r="D393" t="inlineStr">
        <is>
          <t>Abarrotes</t>
        </is>
      </c>
      <c r="E393" t="inlineStr">
        <is>
          <t>Dulces y Chocolates</t>
        </is>
      </c>
      <c r="F393" t="inlineStr">
        <is>
          <t>Caramelos</t>
        </is>
      </c>
      <c r="G393" s="8" t="n">
        <v>355.5</v>
      </c>
      <c r="H393" s="9" t="n">
        <v>46</v>
      </c>
      <c r="I393" t="n">
        <v>46</v>
      </c>
      <c r="J393" s="10" t="n">
        <v>46162</v>
      </c>
      <c r="K393" s="8" t="n">
        <v>7.73</v>
      </c>
      <c r="L393" s="6" t="inlineStr"/>
      <c r="M393" s="7">
        <f>IF(L393&gt;0,(K393-L393)/K393*100,"")</f>
        <v/>
      </c>
    </row>
    <row r="394">
      <c r="A394" s="2" t="n">
        <v>393</v>
      </c>
      <c r="B394" s="2" t="inlineStr">
        <is>
          <t>77204702130714</t>
        </is>
      </c>
      <c r="C394" s="2" t="inlineStr">
        <is>
          <t>GALLETAS C/ CREMA DE CHOCOLATE</t>
        </is>
      </c>
      <c r="D394" s="2" t="inlineStr">
        <is>
          <t>Alimentos y Bebidas Importadas</t>
        </is>
      </c>
      <c r="E394" s="2" t="inlineStr">
        <is>
          <t>Snacks y Dulces Asiáticos</t>
        </is>
      </c>
      <c r="F394" s="2" t="inlineStr">
        <is>
          <t>Galletas y Bocaditos Dulces</t>
        </is>
      </c>
      <c r="G394" s="3" t="n">
        <v>354</v>
      </c>
      <c r="H394" s="4" t="n">
        <v>60</v>
      </c>
      <c r="I394" s="2" t="n">
        <v>59</v>
      </c>
      <c r="J394" s="5" t="n">
        <v>46151</v>
      </c>
      <c r="K394" s="3" t="n">
        <v>5.9</v>
      </c>
      <c r="L394" s="6" t="inlineStr"/>
      <c r="M394" s="7">
        <f>IF(L394&gt;0,(K394-L394)/K394*100,"")</f>
        <v/>
      </c>
    </row>
    <row r="395">
      <c r="A395" t="n">
        <v>394</v>
      </c>
      <c r="B395" t="inlineStr">
        <is>
          <t>76754492974349</t>
        </is>
      </c>
      <c r="C395" t="inlineStr">
        <is>
          <t>Marshmallow Relleno Sabor Durazno Hsufuc</t>
        </is>
      </c>
      <c r="D395" t="inlineStr">
        <is>
          <t>Alimentos y Bebidas Importadas</t>
        </is>
      </c>
      <c r="E395" t="inlineStr">
        <is>
          <t>Snacks y Dulces Asiáticos</t>
        </is>
      </c>
      <c r="F395" t="inlineStr">
        <is>
          <t>Malvaviscos (Marshmallows)</t>
        </is>
      </c>
      <c r="G395" s="8" t="n">
        <v>354</v>
      </c>
      <c r="H395" s="9" t="n">
        <v>60</v>
      </c>
      <c r="I395" t="n">
        <v>57</v>
      </c>
      <c r="J395" s="10" t="n">
        <v>46167</v>
      </c>
      <c r="K395" s="8" t="n">
        <v>5.9</v>
      </c>
      <c r="L395" s="6" t="inlineStr"/>
      <c r="M395" s="7">
        <f>IF(L395&gt;0,(K395-L395)/K395*100,"")</f>
        <v/>
      </c>
    </row>
    <row r="396">
      <c r="A396" s="2" t="n">
        <v>395</v>
      </c>
      <c r="B396" s="2" t="inlineStr">
        <is>
          <t>77211680341756</t>
        </is>
      </c>
      <c r="C396" s="2" t="inlineStr">
        <is>
          <t>FID ARROZ (GUOQIAM) INST S/CARNE AGRIA</t>
        </is>
      </c>
      <c r="D396" s="2" t="inlineStr">
        <is>
          <t>Alimentos y Bebidas Importadas</t>
        </is>
      </c>
      <c r="E396" s="2" t="inlineStr">
        <is>
          <t>Sopas y Fideos Instantáneos</t>
        </is>
      </c>
      <c r="F396" s="2" t="inlineStr">
        <is>
          <t>Fideos de Arroz</t>
        </is>
      </c>
      <c r="G396" s="3" t="n">
        <v>351.9</v>
      </c>
      <c r="H396" s="4" t="n">
        <v>81</v>
      </c>
      <c r="I396" s="2" t="n">
        <v>69</v>
      </c>
      <c r="J396" s="5" t="n">
        <v>46176</v>
      </c>
      <c r="K396" s="3" t="n">
        <v>4.35</v>
      </c>
      <c r="L396" s="6" t="inlineStr"/>
      <c r="M396" s="7">
        <f>IF(L396&gt;0,(K396-L396)/K396*100,"")</f>
        <v/>
      </c>
    </row>
    <row r="397">
      <c r="A397" t="n">
        <v>396</v>
      </c>
      <c r="B397" t="inlineStr">
        <is>
          <t>75755617607395</t>
        </is>
      </c>
      <c r="C397" t="inlineStr">
        <is>
          <t>Licor Frutado Con Brandy Sabor Maraculla</t>
        </is>
      </c>
      <c r="D397" t="inlineStr">
        <is>
          <t>Alimentos y Bebidas Importadas</t>
        </is>
      </c>
      <c r="E397" t="inlineStr">
        <is>
          <t>Licores Asiáticos</t>
        </is>
      </c>
      <c r="F397" t="inlineStr">
        <is>
          <t>Licores Frutales y Cocteles</t>
        </is>
      </c>
      <c r="G397" s="8" t="n">
        <v>351.5</v>
      </c>
      <c r="H397" s="9" t="n">
        <v>37</v>
      </c>
      <c r="I397" t="n">
        <v>34</v>
      </c>
      <c r="J397" s="10" t="n">
        <v>46178</v>
      </c>
      <c r="K397" s="8" t="n">
        <v>9.5</v>
      </c>
      <c r="L397" s="6" t="inlineStr"/>
      <c r="M397" s="7">
        <f>IF(L397&gt;0,(K397-L397)/K397*100,"")</f>
        <v/>
      </c>
    </row>
    <row r="398">
      <c r="A398" s="2" t="n">
        <v>397</v>
      </c>
      <c r="B398" s="2" t="inlineStr">
        <is>
          <t>75875160741208</t>
        </is>
      </c>
      <c r="C398" s="2" t="inlineStr">
        <is>
          <t>Ambientador Bay-Cin pray Bosque Tropical</t>
        </is>
      </c>
      <c r="D398" s="2" t="inlineStr">
        <is>
          <t>Limpieza</t>
        </is>
      </c>
      <c r="E398" s="2" t="inlineStr">
        <is>
          <t>Limpiadores Específicos</t>
        </is>
      </c>
      <c r="F398" s="2" t="inlineStr">
        <is>
          <t>Ambientadores</t>
        </is>
      </c>
      <c r="G398" s="3" t="n">
        <v>351</v>
      </c>
      <c r="H398" s="4" t="n">
        <v>54</v>
      </c>
      <c r="I398" s="2" t="n">
        <v>53</v>
      </c>
      <c r="J398" s="5" t="n">
        <v>46178</v>
      </c>
      <c r="K398" s="3" t="n">
        <v>6.5</v>
      </c>
      <c r="L398" s="6" t="inlineStr"/>
      <c r="M398" s="7">
        <f>IF(L398&gt;0,(K398-L398)/K398*100,"")</f>
        <v/>
      </c>
    </row>
    <row r="399">
      <c r="A399" t="n">
        <v>398</v>
      </c>
      <c r="B399" t="inlineStr">
        <is>
          <t>76106757759960</t>
        </is>
      </c>
      <c r="C399" t="inlineStr">
        <is>
          <t>FIDEO INST S/AGRIA Y PICANTE CHONGQIN 1</t>
        </is>
      </c>
      <c r="D399" t="inlineStr">
        <is>
          <t>Alimentos y Bebidas Importadas</t>
        </is>
      </c>
      <c r="E399" t="inlineStr">
        <is>
          <t>Sopas y Fideos Instantáneos</t>
        </is>
      </c>
      <c r="F399" t="inlineStr">
        <is>
          <t>Fideos de Trigo (Ramen)</t>
        </is>
      </c>
      <c r="G399" s="8" t="n">
        <v>351</v>
      </c>
      <c r="H399" s="9" t="n">
        <v>90</v>
      </c>
      <c r="I399" t="n">
        <v>80</v>
      </c>
      <c r="J399" s="10" t="n">
        <v>46151</v>
      </c>
      <c r="K399" s="8" t="n">
        <v>3.9</v>
      </c>
      <c r="L399" s="6" t="inlineStr"/>
      <c r="M399" s="7">
        <f>IF(L399&gt;0,(K399-L399)/K399*100,"")</f>
        <v/>
      </c>
    </row>
    <row r="400">
      <c r="A400" s="2" t="n">
        <v>399</v>
      </c>
      <c r="B400" s="2" t="inlineStr">
        <is>
          <t>7754807030557</t>
        </is>
      </c>
      <c r="C400" s="2" t="inlineStr">
        <is>
          <t>FOLDER VINIFAN TOP OF. SURTIDO</t>
        </is>
      </c>
      <c r="D400" s="2" t="inlineStr">
        <is>
          <t>Librería y Oficina</t>
        </is>
      </c>
      <c r="E400" s="2" t="inlineStr">
        <is>
          <t>Útiles Escolares</t>
        </is>
      </c>
      <c r="F400" s="2" t="inlineStr">
        <is>
          <t>Archivadores y Folders</t>
        </is>
      </c>
      <c r="G400" s="3" t="n">
        <v>347.91</v>
      </c>
      <c r="H400" s="4" t="n">
        <v>100</v>
      </c>
      <c r="I400" s="2" t="n">
        <v>65</v>
      </c>
      <c r="J400" s="5" t="n">
        <v>46133</v>
      </c>
      <c r="K400" s="3" t="n">
        <v>3.48</v>
      </c>
      <c r="L400" s="6" t="inlineStr"/>
      <c r="M400" s="7">
        <f>IF(L400&gt;0,(K400-L400)/K400*100,"")</f>
        <v/>
      </c>
    </row>
    <row r="401">
      <c r="A401" t="n">
        <v>400</v>
      </c>
      <c r="B401" t="inlineStr">
        <is>
          <t>77204701967712</t>
        </is>
      </c>
      <c r="C401" t="inlineStr">
        <is>
          <t>CARAMELOS BLANDOS RELLENOS S/ NARAN</t>
        </is>
      </c>
      <c r="D401" t="inlineStr">
        <is>
          <t>Alimentos y Bebidas Importadas</t>
        </is>
      </c>
      <c r="E401" t="inlineStr">
        <is>
          <t>Snacks y Dulces Asiáticos</t>
        </is>
      </c>
      <c r="F401" t="inlineStr">
        <is>
          <t>Caramelos y Gomitas</t>
        </is>
      </c>
      <c r="G401" s="8" t="n">
        <v>347.1</v>
      </c>
      <c r="H401" s="9" t="n">
        <v>39</v>
      </c>
      <c r="I401" t="n">
        <v>39</v>
      </c>
      <c r="J401" s="10" t="n">
        <v>46111</v>
      </c>
      <c r="K401" s="8" t="n">
        <v>8.9</v>
      </c>
      <c r="L401" s="6" t="inlineStr"/>
      <c r="M401" s="7">
        <f>IF(L401&gt;0,(K401-L401)/K401*100,"")</f>
        <v/>
      </c>
    </row>
    <row r="402">
      <c r="A402" s="2" t="n">
        <v>401</v>
      </c>
      <c r="B402" s="2" t="inlineStr">
        <is>
          <t>804458</t>
        </is>
      </c>
      <c r="C402" s="2" t="inlineStr">
        <is>
          <t>25 SCOOL RANGER SET MOCH OFICIO 2 BOL EVA 3D KUROMI</t>
        </is>
      </c>
      <c r="D402" s="2" t="inlineStr">
        <is>
          <t>Librería y Oficina</t>
        </is>
      </c>
      <c r="E402" s="2" t="inlineStr">
        <is>
          <t>Mochilas y Cartucheras</t>
        </is>
      </c>
      <c r="F402" s="2" t="inlineStr">
        <is>
          <t>Mochilas Escolares</t>
        </is>
      </c>
      <c r="G402" s="3" t="n">
        <v>346.9</v>
      </c>
      <c r="H402" s="4" t="n">
        <v>4</v>
      </c>
      <c r="I402" s="2" t="n">
        <v>4</v>
      </c>
      <c r="J402" s="5" t="n">
        <v>46113</v>
      </c>
      <c r="K402" s="3" t="n">
        <v>86.73</v>
      </c>
      <c r="L402" s="6" t="inlineStr"/>
      <c r="M402" s="7">
        <f>IF(L402&gt;0,(K402-L402)/K402*100,"")</f>
        <v/>
      </c>
    </row>
    <row r="403">
      <c r="A403" t="n">
        <v>402</v>
      </c>
      <c r="B403" t="inlineStr">
        <is>
          <t>703661</t>
        </is>
      </c>
      <c r="C403" t="inlineStr">
        <is>
          <t>24 SCOOL INV BOT PP 590ML C/CAÑA CINAMOROLL</t>
        </is>
      </c>
      <c r="D403" t="inlineStr">
        <is>
          <t>Librería y Oficina</t>
        </is>
      </c>
      <c r="E403" t="inlineStr">
        <is>
          <t>Loncheras y Taperes Escolares</t>
        </is>
      </c>
      <c r="F403" t="inlineStr">
        <is>
          <t>Botellas Escolares</t>
        </is>
      </c>
      <c r="G403" s="8" t="n">
        <v>345.1</v>
      </c>
      <c r="H403" s="9" t="n">
        <v>29</v>
      </c>
      <c r="I403" t="n">
        <v>28</v>
      </c>
      <c r="J403" s="10" t="n">
        <v>46170</v>
      </c>
      <c r="K403" s="8" t="n">
        <v>11.9</v>
      </c>
      <c r="L403" s="6" t="inlineStr"/>
      <c r="M403" s="7">
        <f>IF(L403&gt;0,(K403-L403)/K403*100,"")</f>
        <v/>
      </c>
    </row>
    <row r="404">
      <c r="A404" s="2" t="n">
        <v>403</v>
      </c>
      <c r="B404" s="2" t="inlineStr">
        <is>
          <t>AGL-350</t>
        </is>
      </c>
      <c r="C404" s="2" t="inlineStr">
        <is>
          <t>BRILLO ROLLON FRESH LIP OIL</t>
        </is>
      </c>
      <c r="D404" s="2" t="inlineStr">
        <is>
          <t>Belleza</t>
        </is>
      </c>
      <c r="E404" s="2" t="inlineStr">
        <is>
          <t>Maquillaje y Cosméticos</t>
        </is>
      </c>
      <c r="F404" s="2" t="inlineStr">
        <is>
          <t>Labial Gloss</t>
        </is>
      </c>
      <c r="G404" s="3" t="n">
        <v>344.96</v>
      </c>
      <c r="H404" s="4" t="n">
        <v>119</v>
      </c>
      <c r="I404" s="2" t="n">
        <v>107</v>
      </c>
      <c r="J404" s="5" t="n">
        <v>46178</v>
      </c>
      <c r="K404" s="3" t="n">
        <v>2.9</v>
      </c>
      <c r="L404" s="6" t="inlineStr"/>
      <c r="M404" s="7">
        <f>IF(L404&gt;0,(K404-L404)/K404*100,"")</f>
        <v/>
      </c>
    </row>
    <row r="405">
      <c r="A405" t="n">
        <v>404</v>
      </c>
      <c r="B405" t="inlineStr">
        <is>
          <t>77410656574617</t>
        </is>
      </c>
      <c r="C405" t="inlineStr">
        <is>
          <t>Detergente Trome Encanto Floral 4Kg. (PQTX4)</t>
        </is>
      </c>
      <c r="D405" t="inlineStr">
        <is>
          <t>Limpieza</t>
        </is>
      </c>
      <c r="E405" t="inlineStr">
        <is>
          <t>Detergentes y Suavizantes</t>
        </is>
      </c>
      <c r="F405" t="inlineStr">
        <is>
          <t>Detergentes en Polvo</t>
        </is>
      </c>
      <c r="G405" s="8" t="n">
        <v>344</v>
      </c>
      <c r="H405" s="9" t="n">
        <v>16</v>
      </c>
      <c r="I405" t="n">
        <v>14</v>
      </c>
      <c r="J405" s="10" t="n">
        <v>46146</v>
      </c>
      <c r="K405" s="8" t="n">
        <v>21.5</v>
      </c>
      <c r="L405" s="6" t="inlineStr"/>
      <c r="M405" s="7">
        <f>IF(L405&gt;0,(K405-L405)/K405*100,"")</f>
        <v/>
      </c>
    </row>
    <row r="406">
      <c r="A406" s="2" t="n">
        <v>405</v>
      </c>
      <c r="B406" s="2" t="inlineStr">
        <is>
          <t>3811</t>
        </is>
      </c>
      <c r="C406" s="2" t="inlineStr">
        <is>
          <t>BURBUJA DELFIN</t>
        </is>
      </c>
      <c r="D406" s="2" t="inlineStr">
        <is>
          <t>Juguetes y Juegos</t>
        </is>
      </c>
      <c r="E406" s="2" t="inlineStr">
        <is>
          <t>Juguetes</t>
        </is>
      </c>
      <c r="F406" s="2" t="inlineStr">
        <is>
          <t>Burbujas</t>
        </is>
      </c>
      <c r="G406" s="3" t="n">
        <v>342.8</v>
      </c>
      <c r="H406" s="4" t="n">
        <v>172</v>
      </c>
      <c r="I406" s="2" t="n">
        <v>110</v>
      </c>
      <c r="J406" s="5" t="n">
        <v>46154</v>
      </c>
      <c r="K406" s="3" t="n">
        <v>2</v>
      </c>
      <c r="L406" s="6" t="inlineStr"/>
      <c r="M406" s="7">
        <f>IF(L406&gt;0,(K406-L406)/K406*100,"")</f>
        <v/>
      </c>
    </row>
    <row r="407">
      <c r="A407" t="n">
        <v>406</v>
      </c>
      <c r="B407" t="inlineStr">
        <is>
          <t>CC-460</t>
        </is>
      </c>
      <c r="C407" t="inlineStr">
        <is>
          <t>Porta cepillo de dientes</t>
        </is>
      </c>
      <c r="D407" t="inlineStr">
        <is>
          <t>Hogar y Decoración</t>
        </is>
      </c>
      <c r="E407" t="inlineStr">
        <is>
          <t>Accesorios para Baño</t>
        </is>
      </c>
      <c r="F407" t="inlineStr">
        <is>
          <t>Accesorios de Baño</t>
        </is>
      </c>
      <c r="G407" s="8" t="n">
        <v>340</v>
      </c>
      <c r="H407" s="9" t="n">
        <v>200</v>
      </c>
      <c r="I407" t="n">
        <v>153</v>
      </c>
      <c r="J407" s="10" t="n">
        <v>46157</v>
      </c>
      <c r="K407" s="8" t="n">
        <v>1.7</v>
      </c>
      <c r="L407" s="6" t="inlineStr"/>
      <c r="M407" s="7">
        <f>IF(L407&gt;0,(K407-L407)/K407*100,"")</f>
        <v/>
      </c>
    </row>
    <row r="408">
      <c r="A408" s="2" t="n">
        <v>407</v>
      </c>
      <c r="B408" s="2" t="inlineStr">
        <is>
          <t>704423</t>
        </is>
      </c>
      <c r="C408" s="2" t="inlineStr">
        <is>
          <t>25 SCOOL INV KOMBAT BOTELLA PP S/CAÑA 450ML SONIC</t>
        </is>
      </c>
      <c r="D408" s="2" t="inlineStr">
        <is>
          <t>Librería y Oficina</t>
        </is>
      </c>
      <c r="E408" s="2" t="inlineStr">
        <is>
          <t>Loncheras y Taperes Escolares</t>
        </is>
      </c>
      <c r="F408" s="2" t="inlineStr">
        <is>
          <t>Botellas Escolares</t>
        </is>
      </c>
      <c r="G408" s="3" t="n">
        <v>339.7</v>
      </c>
      <c r="H408" s="4" t="n">
        <v>43</v>
      </c>
      <c r="I408" s="2" t="n">
        <v>43</v>
      </c>
      <c r="J408" s="5" t="n">
        <v>46108</v>
      </c>
      <c r="K408" s="3" t="n">
        <v>7.9</v>
      </c>
      <c r="L408" s="6" t="inlineStr"/>
      <c r="M408" s="7">
        <f>IF(L408&gt;0,(K408-L408)/K408*100,"")</f>
        <v/>
      </c>
    </row>
    <row r="409">
      <c r="A409" t="n">
        <v>408</v>
      </c>
      <c r="B409" t="inlineStr">
        <is>
          <t>704540</t>
        </is>
      </c>
      <c r="C409" t="inlineStr">
        <is>
          <t>26 SCOOL TAPER PP 1 BROCHE 600 ML POCOYO</t>
        </is>
      </c>
      <c r="D409" t="inlineStr">
        <is>
          <t>Librería y Oficina</t>
        </is>
      </c>
      <c r="E409" t="inlineStr">
        <is>
          <t>Loncheras y Taperes Escolares</t>
        </is>
      </c>
      <c r="F409" t="inlineStr">
        <is>
          <t>Taperes Escolares</t>
        </is>
      </c>
      <c r="G409" s="8" t="n">
        <v>339.7</v>
      </c>
      <c r="H409" s="9" t="n">
        <v>43</v>
      </c>
      <c r="I409" t="n">
        <v>43</v>
      </c>
      <c r="J409" s="10" t="n">
        <v>46169</v>
      </c>
      <c r="K409" s="8" t="n">
        <v>7.9</v>
      </c>
      <c r="L409" s="6" t="inlineStr"/>
      <c r="M409" s="7">
        <f>IF(L409&gt;0,(K409-L409)/K409*100,"")</f>
        <v/>
      </c>
    </row>
    <row r="410">
      <c r="A410" s="2" t="n">
        <v>409</v>
      </c>
      <c r="B410" s="2" t="inlineStr">
        <is>
          <t>75891958985357</t>
        </is>
      </c>
      <c r="C410" s="2" t="inlineStr">
        <is>
          <t>Caramelo Ambrosoli Banderitas 80x3.50Gr.</t>
        </is>
      </c>
      <c r="D410" s="2" t="inlineStr">
        <is>
          <t>Abarrotes</t>
        </is>
      </c>
      <c r="E410" s="2" t="inlineStr">
        <is>
          <t>Dulces y Chocolates</t>
        </is>
      </c>
      <c r="F410" s="2" t="inlineStr">
        <is>
          <t>Caramelos</t>
        </is>
      </c>
      <c r="G410" s="3" t="n">
        <v>337.5</v>
      </c>
      <c r="H410" s="4" t="n">
        <v>75</v>
      </c>
      <c r="I410" s="2" t="n">
        <v>66</v>
      </c>
      <c r="J410" s="5" t="n">
        <v>46154</v>
      </c>
      <c r="K410" s="3" t="n">
        <v>4.5</v>
      </c>
      <c r="L410" s="6" t="inlineStr"/>
      <c r="M410" s="7">
        <f>IF(L410&gt;0,(K410-L410)/K410*100,"")</f>
        <v/>
      </c>
    </row>
    <row r="411">
      <c r="A411" t="n">
        <v>410</v>
      </c>
      <c r="B411" t="inlineStr">
        <is>
          <t>EP-2368</t>
        </is>
      </c>
      <c r="C411" t="inlineStr">
        <is>
          <t>FRASCO DE VIDRIO</t>
        </is>
      </c>
      <c r="D411" t="inlineStr">
        <is>
          <t>Hogar y Decoración</t>
        </is>
      </c>
      <c r="E411" t="inlineStr">
        <is>
          <t>Menaje de Cocina</t>
        </is>
      </c>
      <c r="F411" t="inlineStr">
        <is>
          <t>Frascos y Tarros</t>
        </is>
      </c>
      <c r="G411" s="8" t="n">
        <v>336.4</v>
      </c>
      <c r="H411" s="9" t="n">
        <v>72</v>
      </c>
      <c r="I411" t="n">
        <v>52</v>
      </c>
      <c r="J411" s="10" t="n">
        <v>46146</v>
      </c>
      <c r="K411" s="8" t="n">
        <v>4.7</v>
      </c>
      <c r="L411" s="6" t="inlineStr"/>
      <c r="M411" s="7">
        <f>IF(L411&gt;0,(K411-L411)/K411*100,"")</f>
        <v/>
      </c>
    </row>
    <row r="412">
      <c r="A412" s="2" t="n">
        <v>411</v>
      </c>
      <c r="B412" s="2" t="inlineStr">
        <is>
          <t>21404</t>
        </is>
      </c>
      <c r="C412" s="2" t="inlineStr">
        <is>
          <t>AQUA CÍTRICO JABÓN DE GLICERINA 100G</t>
        </is>
      </c>
      <c r="D412" s="2" t="inlineStr">
        <is>
          <t>Cuidado Personal y Salud</t>
        </is>
      </c>
      <c r="E412" s="2" t="inlineStr">
        <is>
          <t>Higiene Personal</t>
        </is>
      </c>
      <c r="F412" s="2" t="inlineStr">
        <is>
          <t>Jabones Corporales</t>
        </is>
      </c>
      <c r="G412" s="3" t="n">
        <v>335</v>
      </c>
      <c r="H412" s="4" t="n">
        <v>134</v>
      </c>
      <c r="I412" s="2" t="n">
        <v>118</v>
      </c>
      <c r="J412" s="5" t="n">
        <v>46144</v>
      </c>
      <c r="K412" s="3" t="n">
        <v>2.5</v>
      </c>
      <c r="L412" s="6" t="inlineStr"/>
      <c r="M412" s="7">
        <f>IF(L412&gt;0,(K412-L412)/K412*100,"")</f>
        <v/>
      </c>
    </row>
    <row r="413">
      <c r="A413" t="n">
        <v>412</v>
      </c>
      <c r="B413" t="inlineStr">
        <is>
          <t>704008</t>
        </is>
      </c>
      <c r="C413" t="inlineStr">
        <is>
          <t>25 SCOOL BOT PP 590ML C/CAÑA CINNAMOROLL</t>
        </is>
      </c>
      <c r="D413" t="inlineStr">
        <is>
          <t>Librería y Oficina</t>
        </is>
      </c>
      <c r="E413" t="inlineStr">
        <is>
          <t>Loncheras y Taperes Escolares</t>
        </is>
      </c>
      <c r="F413" t="inlineStr">
        <is>
          <t>Botellas Escolares</t>
        </is>
      </c>
      <c r="G413" s="8" t="n">
        <v>332.01</v>
      </c>
      <c r="H413" s="9" t="n">
        <v>28</v>
      </c>
      <c r="I413" t="n">
        <v>28</v>
      </c>
      <c r="J413" s="10" t="n">
        <v>46174</v>
      </c>
      <c r="K413" s="8" t="n">
        <v>11.86</v>
      </c>
      <c r="L413" s="6" t="inlineStr"/>
      <c r="M413" s="7">
        <f>IF(L413&gt;0,(K413-L413)/K413*100,"")</f>
        <v/>
      </c>
    </row>
    <row r="414">
      <c r="A414" s="2" t="n">
        <v>413</v>
      </c>
      <c r="B414" s="2" t="inlineStr">
        <is>
          <t>21506</t>
        </is>
      </c>
      <c r="C414" s="2" t="inlineStr">
        <is>
          <t>AQUA CHERRY FRESAS JABÓN EN BARRA ANTIBACTERIAL 75G</t>
        </is>
      </c>
      <c r="D414" s="2" t="inlineStr">
        <is>
          <t>Cuidado Personal y Salud</t>
        </is>
      </c>
      <c r="E414" s="2" t="inlineStr">
        <is>
          <t>Higiene Personal</t>
        </is>
      </c>
      <c r="F414" s="2" t="inlineStr">
        <is>
          <t>Jabones Corporales</t>
        </is>
      </c>
      <c r="G414" s="3" t="n">
        <v>331.2</v>
      </c>
      <c r="H414" s="4" t="n">
        <v>276</v>
      </c>
      <c r="I414" s="2" t="n">
        <v>217</v>
      </c>
      <c r="J414" s="5" t="n">
        <v>46178</v>
      </c>
      <c r="K414" s="3" t="n">
        <v>1.2</v>
      </c>
      <c r="L414" s="6" t="inlineStr"/>
      <c r="M414" s="7">
        <f>IF(L414&gt;0,(K414-L414)/K414*100,"")</f>
        <v/>
      </c>
    </row>
    <row r="415">
      <c r="A415" t="n">
        <v>414</v>
      </c>
      <c r="B415" t="inlineStr">
        <is>
          <t>T2596</t>
        </is>
      </c>
      <c r="C415" t="inlineStr">
        <is>
          <t>TOMATODOSPORT</t>
        </is>
      </c>
      <c r="D415" t="inlineStr">
        <is>
          <t>Hogar y Decoración</t>
        </is>
      </c>
      <c r="E415" t="inlineStr">
        <is>
          <t>Menaje de Cocina</t>
        </is>
      </c>
      <c r="F415" t="inlineStr">
        <is>
          <t>Tomatodos y Botellas</t>
        </is>
      </c>
      <c r="G415" s="8" t="n">
        <v>329.8</v>
      </c>
      <c r="H415" s="9" t="n">
        <v>44</v>
      </c>
      <c r="I415" t="n">
        <v>40</v>
      </c>
      <c r="J415" s="10" t="n">
        <v>46104</v>
      </c>
      <c r="K415" s="8" t="n">
        <v>7.5</v>
      </c>
      <c r="L415" s="6" t="inlineStr"/>
      <c r="M415" s="7">
        <f>IF(L415&gt;0,(K415-L415)/K415*100,"")</f>
        <v/>
      </c>
    </row>
    <row r="416">
      <c r="A416" s="2" t="n">
        <v>415</v>
      </c>
      <c r="B416" s="2" t="inlineStr">
        <is>
          <t>MS-3398</t>
        </is>
      </c>
      <c r="C416" s="2" t="inlineStr">
        <is>
          <t>TOMATODO 750ML</t>
        </is>
      </c>
      <c r="D416" s="2" t="inlineStr">
        <is>
          <t>Hogar y Decoración</t>
        </is>
      </c>
      <c r="E416" s="2" t="inlineStr">
        <is>
          <t>Menaje de Cocina</t>
        </is>
      </c>
      <c r="F416" s="2" t="inlineStr">
        <is>
          <t>Tomatodos y Botellas</t>
        </is>
      </c>
      <c r="G416" s="3" t="n">
        <v>326.7</v>
      </c>
      <c r="H416" s="4" t="n">
        <v>33</v>
      </c>
      <c r="I416" s="2" t="n">
        <v>29</v>
      </c>
      <c r="J416" s="5" t="n">
        <v>46098</v>
      </c>
      <c r="K416" s="3" t="n">
        <v>9.9</v>
      </c>
      <c r="L416" s="6" t="inlineStr"/>
      <c r="M416" s="7">
        <f>IF(L416&gt;0,(K416-L416)/K416*100,"")</f>
        <v/>
      </c>
    </row>
    <row r="417">
      <c r="A417" t="n">
        <v>416</v>
      </c>
      <c r="B417" t="inlineStr">
        <is>
          <t>77240956721653</t>
        </is>
      </c>
      <c r="C417" t="inlineStr">
        <is>
          <t>Gomitas Trululu Mutantes 80gr</t>
        </is>
      </c>
      <c r="D417" t="inlineStr">
        <is>
          <t>Abarrotes</t>
        </is>
      </c>
      <c r="E417" t="inlineStr">
        <is>
          <t>Dulces y Chocolates</t>
        </is>
      </c>
      <c r="F417" t="inlineStr">
        <is>
          <t>Gomitas</t>
        </is>
      </c>
      <c r="G417" s="8" t="n">
        <v>325</v>
      </c>
      <c r="H417" s="9" t="n">
        <v>130</v>
      </c>
      <c r="I417" t="n">
        <v>122</v>
      </c>
      <c r="J417" s="10" t="n">
        <v>46177</v>
      </c>
      <c r="K417" s="8" t="n">
        <v>2.5</v>
      </c>
      <c r="L417" s="6" t="inlineStr"/>
      <c r="M417" s="7">
        <f>IF(L417&gt;0,(K417-L417)/K417*100,"")</f>
        <v/>
      </c>
    </row>
    <row r="418">
      <c r="A418" s="2" t="n">
        <v>417</v>
      </c>
      <c r="B418" s="2" t="inlineStr">
        <is>
          <t>77240956747008</t>
        </is>
      </c>
      <c r="C418" s="2" t="inlineStr">
        <is>
          <t>Gomitas Trululu Sandia Acidas 80gr</t>
        </is>
      </c>
      <c r="D418" s="2" t="inlineStr">
        <is>
          <t>Abarrotes</t>
        </is>
      </c>
      <c r="E418" s="2" t="inlineStr">
        <is>
          <t>Dulces y Chocolates</t>
        </is>
      </c>
      <c r="F418" s="2" t="inlineStr">
        <is>
          <t>Gomitas</t>
        </is>
      </c>
      <c r="G418" s="3" t="n">
        <v>325</v>
      </c>
      <c r="H418" s="4" t="n">
        <v>131</v>
      </c>
      <c r="I418" s="2" t="n">
        <v>127</v>
      </c>
      <c r="J418" s="5" t="n">
        <v>46163</v>
      </c>
      <c r="K418" s="3" t="n">
        <v>2.48</v>
      </c>
      <c r="L418" s="6" t="inlineStr"/>
      <c r="M418" s="7">
        <f>IF(L418&gt;0,(K418-L418)/K418*100,"")</f>
        <v/>
      </c>
    </row>
    <row r="419">
      <c r="A419" t="n">
        <v>418</v>
      </c>
      <c r="B419" t="inlineStr">
        <is>
          <t>ROMA-14CM</t>
        </is>
      </c>
      <c r="C419" t="inlineStr">
        <is>
          <t>Galleta</t>
        </is>
      </c>
      <c r="D419" t="inlineStr">
        <is>
          <t>Abarrotes</t>
        </is>
      </c>
      <c r="E419" t="inlineStr">
        <is>
          <t>Dulces y Chocolates</t>
        </is>
      </c>
      <c r="F419" t="inlineStr">
        <is>
          <t>Galletas</t>
        </is>
      </c>
      <c r="G419" s="8" t="n">
        <v>325</v>
      </c>
      <c r="H419" s="9" t="n">
        <v>65</v>
      </c>
      <c r="I419" t="n">
        <v>63</v>
      </c>
      <c r="J419" s="10" t="n">
        <v>46176</v>
      </c>
      <c r="K419" s="8" t="n">
        <v>5</v>
      </c>
      <c r="L419" s="6" t="inlineStr"/>
      <c r="M419" s="7">
        <f>IF(L419&gt;0,(K419-L419)/K419*100,"")</f>
        <v/>
      </c>
    </row>
    <row r="420">
      <c r="A420" s="2" t="n">
        <v>419</v>
      </c>
      <c r="B420" s="2" t="inlineStr">
        <is>
          <t>2001060002</t>
        </is>
      </c>
      <c r="C420" s="2" t="inlineStr">
        <is>
          <t>ÓLEO PASTEL LAYCONSA ESTUCHE X 24</t>
        </is>
      </c>
      <c r="D420" s="2" t="inlineStr">
        <is>
          <t>Librería y Oficina</t>
        </is>
      </c>
      <c r="E420" s="2" t="inlineStr">
        <is>
          <t>Útiles Escolares</t>
        </is>
      </c>
      <c r="F420" s="2" t="inlineStr">
        <is>
          <t>Papelería Variada</t>
        </is>
      </c>
      <c r="G420" s="3" t="n">
        <v>324</v>
      </c>
      <c r="H420" s="4" t="n">
        <v>24</v>
      </c>
      <c r="I420" s="2" t="n">
        <v>24</v>
      </c>
      <c r="J420" s="5" t="n">
        <v>46108</v>
      </c>
      <c r="K420" s="3" t="n">
        <v>13.5</v>
      </c>
      <c r="L420" s="6" t="inlineStr"/>
      <c r="M420" s="7">
        <f>IF(L420&gt;0,(K420-L420)/K420*100,"")</f>
        <v/>
      </c>
    </row>
    <row r="421">
      <c r="A421" t="n">
        <v>420</v>
      </c>
      <c r="B421" t="inlineStr">
        <is>
          <t>704419</t>
        </is>
      </c>
      <c r="C421" t="inlineStr">
        <is>
          <t>25 SCOOL INV KOMBAT BOTELLA PP S/CAÑA 450ML PAW PATRO</t>
        </is>
      </c>
      <c r="D421" t="inlineStr">
        <is>
          <t>Librería y Oficina</t>
        </is>
      </c>
      <c r="E421" t="inlineStr">
        <is>
          <t>Loncheras y Taperes Escolares</t>
        </is>
      </c>
      <c r="F421" t="inlineStr">
        <is>
          <t>Botellas Escolares</t>
        </is>
      </c>
      <c r="G421" s="8" t="n">
        <v>323.11</v>
      </c>
      <c r="H421" s="9" t="n">
        <v>41</v>
      </c>
      <c r="I421" t="n">
        <v>41</v>
      </c>
      <c r="J421" s="10" t="n">
        <v>46129</v>
      </c>
      <c r="K421" s="8" t="n">
        <v>7.88</v>
      </c>
      <c r="L421" s="6" t="inlineStr"/>
      <c r="M421" s="7">
        <f>IF(L421&gt;0,(K421-L421)/K421*100,"")</f>
        <v/>
      </c>
    </row>
    <row r="422">
      <c r="A422" s="2" t="n">
        <v>421</v>
      </c>
      <c r="B422" s="2" t="inlineStr">
        <is>
          <t>76106757809416</t>
        </is>
      </c>
      <c r="C422" s="2" t="inlineStr">
        <is>
          <t>LICOR FRUTADO CON BRANDY SABOR LYCHE</t>
        </is>
      </c>
      <c r="D422" s="2" t="inlineStr">
        <is>
          <t>Alimentos y Bebidas Importadas</t>
        </is>
      </c>
      <c r="E422" s="2" t="inlineStr">
        <is>
          <t>Licores Asiáticos</t>
        </is>
      </c>
      <c r="F422" s="2" t="inlineStr">
        <is>
          <t>Licores Frutales y Cocteles</t>
        </is>
      </c>
      <c r="G422" s="3" t="n">
        <v>323</v>
      </c>
      <c r="H422" s="4" t="n">
        <v>34</v>
      </c>
      <c r="I422" s="2" t="n">
        <v>32</v>
      </c>
      <c r="J422" s="5" t="n">
        <v>46178</v>
      </c>
      <c r="K422" s="3" t="n">
        <v>9.5</v>
      </c>
      <c r="L422" s="6" t="inlineStr"/>
      <c r="M422" s="7">
        <f>IF(L422&gt;0,(K422-L422)/K422*100,"")</f>
        <v/>
      </c>
    </row>
    <row r="423">
      <c r="A423" t="n">
        <v>422</v>
      </c>
      <c r="B423" t="inlineStr">
        <is>
          <t>360215</t>
        </is>
      </c>
      <c r="C423" t="inlineStr">
        <is>
          <t>ME TOO ACQUA DI EROS EDT 50ML</t>
        </is>
      </c>
      <c r="D423" t="inlineStr">
        <is>
          <t>Belleza</t>
        </is>
      </c>
      <c r="E423" t="inlineStr">
        <is>
          <t>Perfumes y Fragancias</t>
        </is>
      </c>
      <c r="F423" t="inlineStr">
        <is>
          <t>Perfumes para Hombre</t>
        </is>
      </c>
      <c r="G423" s="8" t="n">
        <v>322.9</v>
      </c>
      <c r="H423" s="9" t="n">
        <v>19</v>
      </c>
      <c r="I423" t="n">
        <v>19</v>
      </c>
      <c r="J423" s="10" t="n">
        <v>46176</v>
      </c>
      <c r="K423" s="8" t="n">
        <v>16.99</v>
      </c>
      <c r="L423" s="6" t="inlineStr"/>
      <c r="M423" s="7">
        <f>IF(L423&gt;0,(K423-L423)/K423*100,"")</f>
        <v/>
      </c>
    </row>
    <row r="424">
      <c r="A424" s="2" t="n">
        <v>423</v>
      </c>
      <c r="B424" s="2" t="inlineStr">
        <is>
          <t>76106757916024</t>
        </is>
      </c>
      <c r="C424" s="2" t="inlineStr">
        <is>
          <t>BEBIDA FRUTADA CON FRESA BAOLISU 238M</t>
        </is>
      </c>
      <c r="D424" s="2" t="inlineStr">
        <is>
          <t>Alimentos y Bebidas Importadas</t>
        </is>
      </c>
      <c r="E424" s="2" t="inlineStr">
        <is>
          <t>Bebidas Asiáticas</t>
        </is>
      </c>
      <c r="F424" s="2" t="inlineStr">
        <is>
          <t>Jugo y Nata de Coco</t>
        </is>
      </c>
      <c r="G424" s="3" t="n">
        <v>319.5</v>
      </c>
      <c r="H424" s="4" t="n">
        <v>71</v>
      </c>
      <c r="I424" s="2" t="n">
        <v>68</v>
      </c>
      <c r="J424" s="5" t="n">
        <v>46161</v>
      </c>
      <c r="K424" s="3" t="n">
        <v>4.5</v>
      </c>
      <c r="L424" s="6" t="inlineStr"/>
      <c r="M424" s="7">
        <f>IF(L424&gt;0,(K424-L424)/K424*100,"")</f>
        <v/>
      </c>
    </row>
    <row r="425">
      <c r="A425" t="n">
        <v>424</v>
      </c>
      <c r="B425" t="inlineStr">
        <is>
          <t>75891958965037</t>
        </is>
      </c>
      <c r="C425" t="inlineStr">
        <is>
          <t>Caramelo Ambrosoli Ambrocolas 100x3.50G</t>
        </is>
      </c>
      <c r="D425" t="inlineStr">
        <is>
          <t>Abarrotes</t>
        </is>
      </c>
      <c r="E425" t="inlineStr">
        <is>
          <t>Dulces y Chocolates</t>
        </is>
      </c>
      <c r="F425" t="inlineStr">
        <is>
          <t>Caramelos</t>
        </is>
      </c>
      <c r="G425" s="8" t="n">
        <v>319</v>
      </c>
      <c r="H425" s="9" t="n">
        <v>58</v>
      </c>
      <c r="I425" t="n">
        <v>58</v>
      </c>
      <c r="J425" s="10" t="n">
        <v>46146</v>
      </c>
      <c r="K425" s="8" t="n">
        <v>5.5</v>
      </c>
      <c r="L425" s="6" t="inlineStr"/>
      <c r="M425" s="7">
        <f>IF(L425&gt;0,(K425-L425)/K425*100,"")</f>
        <v/>
      </c>
    </row>
    <row r="426">
      <c r="A426" s="2" t="n">
        <v>425</v>
      </c>
      <c r="B426" s="2" t="inlineStr">
        <is>
          <t>FX-201</t>
        </is>
      </c>
      <c r="C426" s="2" t="inlineStr">
        <is>
          <t>ESPONJA CON PIEDRA POME</t>
        </is>
      </c>
      <c r="D426" s="2" t="inlineStr">
        <is>
          <t>Hogar y Decoración</t>
        </is>
      </c>
      <c r="E426" s="2" t="inlineStr">
        <is>
          <t>Accesorios para Baño</t>
        </is>
      </c>
      <c r="F426" s="2" t="inlineStr">
        <is>
          <t>Esponjas de Baño</t>
        </is>
      </c>
      <c r="G426" s="3" t="n">
        <v>318.37</v>
      </c>
      <c r="H426" s="4" t="n">
        <v>245</v>
      </c>
      <c r="I426" s="2" t="n">
        <v>206</v>
      </c>
      <c r="J426" s="5" t="n">
        <v>46156</v>
      </c>
      <c r="K426" s="3" t="n">
        <v>1.3</v>
      </c>
      <c r="L426" s="6" t="inlineStr"/>
      <c r="M426" s="7">
        <f>IF(L426&gt;0,(K426-L426)/K426*100,"")</f>
        <v/>
      </c>
    </row>
    <row r="427">
      <c r="A427" t="n">
        <v>426</v>
      </c>
      <c r="B427" t="inlineStr">
        <is>
          <t>DW-7</t>
        </is>
      </c>
      <c r="C427" t="inlineStr">
        <is>
          <t>TAZON</t>
        </is>
      </c>
      <c r="D427" t="inlineStr">
        <is>
          <t>Hogar y Decoración</t>
        </is>
      </c>
      <c r="E427" t="inlineStr">
        <is>
          <t>Menaje de Comedor</t>
        </is>
      </c>
      <c r="F427" t="inlineStr">
        <is>
          <t>Platos y Fuentes</t>
        </is>
      </c>
      <c r="G427" s="8" t="n">
        <v>316.5</v>
      </c>
      <c r="H427" s="9" t="n">
        <v>133</v>
      </c>
      <c r="I427" t="n">
        <v>36</v>
      </c>
      <c r="J427" s="10" t="n">
        <v>46110</v>
      </c>
      <c r="K427" s="8" t="n">
        <v>2.38</v>
      </c>
      <c r="L427" s="6" t="inlineStr"/>
      <c r="M427" s="7">
        <f>IF(L427&gt;0,(K427-L427)/K427*100,"")</f>
        <v/>
      </c>
    </row>
    <row r="428">
      <c r="A428" s="2" t="n">
        <v>427</v>
      </c>
      <c r="B428" s="2" t="inlineStr">
        <is>
          <t>704533</t>
        </is>
      </c>
      <c r="C428" s="2" t="inlineStr">
        <is>
          <t>26 SCOOL TAPER PP 1 BROCHE 600 ML CINNAMOROLL</t>
        </is>
      </c>
      <c r="D428" s="2" t="inlineStr">
        <is>
          <t>Librería y Oficina</t>
        </is>
      </c>
      <c r="E428" s="2" t="inlineStr">
        <is>
          <t>Loncheras y Taperes Escolares</t>
        </is>
      </c>
      <c r="F428" s="2" t="inlineStr">
        <is>
          <t>Taperes Escolares</t>
        </is>
      </c>
      <c r="G428" s="3" t="n">
        <v>316</v>
      </c>
      <c r="H428" s="4" t="n">
        <v>40</v>
      </c>
      <c r="I428" s="2" t="n">
        <v>39</v>
      </c>
      <c r="J428" s="5" t="n">
        <v>46131</v>
      </c>
      <c r="K428" s="3" t="n">
        <v>7.9</v>
      </c>
      <c r="L428" s="6" t="inlineStr"/>
      <c r="M428" s="7">
        <f>IF(L428&gt;0,(K428-L428)/K428*100,"")</f>
        <v/>
      </c>
    </row>
    <row r="429">
      <c r="A429" t="n">
        <v>428</v>
      </c>
      <c r="B429" t="inlineStr">
        <is>
          <t>ROMA-14CMM</t>
        </is>
      </c>
      <c r="C429" t="inlineStr">
        <is>
          <t>Galleta</t>
        </is>
      </c>
      <c r="D429" t="inlineStr">
        <is>
          <t>Abarrotes</t>
        </is>
      </c>
      <c r="E429" t="inlineStr">
        <is>
          <t>Dulces y Chocolates</t>
        </is>
      </c>
      <c r="F429" t="inlineStr">
        <is>
          <t>Galletas</t>
        </is>
      </c>
      <c r="G429" s="8" t="n">
        <v>315</v>
      </c>
      <c r="H429" s="9" t="n">
        <v>63</v>
      </c>
      <c r="I429" t="n">
        <v>61</v>
      </c>
      <c r="J429" s="10" t="n">
        <v>46162</v>
      </c>
      <c r="K429" s="8" t="n">
        <v>5</v>
      </c>
      <c r="L429" s="6" t="inlineStr"/>
      <c r="M429" s="7">
        <f>IF(L429&gt;0,(K429-L429)/K429*100,"")</f>
        <v/>
      </c>
    </row>
    <row r="430">
      <c r="A430" s="2" t="n">
        <v>429</v>
      </c>
      <c r="B430" s="2" t="inlineStr">
        <is>
          <t>75875160709225</t>
        </is>
      </c>
      <c r="C430" s="2" t="inlineStr">
        <is>
          <t>AC Nutribela Reparación 370ml ACONDICIONADOR</t>
        </is>
      </c>
      <c r="D430" s="2" t="inlineStr">
        <is>
          <t>Cuidado Personal y Salud</t>
        </is>
      </c>
      <c r="E430" s="2" t="inlineStr">
        <is>
          <t>Cuidado del Cabello</t>
        </is>
      </c>
      <c r="F430" s="2" t="inlineStr">
        <is>
          <t>Acondicionadores</t>
        </is>
      </c>
      <c r="G430" s="3" t="n">
        <v>312.9</v>
      </c>
      <c r="H430" s="4" t="n">
        <v>21</v>
      </c>
      <c r="I430" s="2" t="n">
        <v>21</v>
      </c>
      <c r="J430" s="5" t="n">
        <v>46172</v>
      </c>
      <c r="K430" s="3" t="n">
        <v>14.9</v>
      </c>
      <c r="L430" s="6" t="inlineStr"/>
      <c r="M430" s="7">
        <f>IF(L430&gt;0,(K430-L430)/K430*100,"")</f>
        <v/>
      </c>
    </row>
    <row r="431">
      <c r="A431" t="n">
        <v>430</v>
      </c>
      <c r="B431" t="inlineStr">
        <is>
          <t>AR16301100</t>
        </is>
      </c>
      <c r="C431" t="inlineStr">
        <is>
          <t>FORRO ARTESCO FILM AUTOADHESIVO 0.45X 3.0 MTS (CAJAX48)</t>
        </is>
      </c>
      <c r="D431" t="inlineStr">
        <is>
          <t>Librería y Oficina</t>
        </is>
      </c>
      <c r="E431" t="inlineStr">
        <is>
          <t>Útiles Escolares</t>
        </is>
      </c>
      <c r="F431" t="inlineStr">
        <is>
          <t>Forros para Cuadernos</t>
        </is>
      </c>
      <c r="G431" s="8" t="n">
        <v>312.7</v>
      </c>
      <c r="H431" s="9" t="n">
        <v>47</v>
      </c>
      <c r="I431" t="n">
        <v>35</v>
      </c>
      <c r="J431" s="10" t="n">
        <v>46166</v>
      </c>
      <c r="K431" s="8" t="n">
        <v>6.69</v>
      </c>
      <c r="L431" s="6" t="inlineStr"/>
      <c r="M431" s="7">
        <f>IF(L431&gt;0,(K431-L431)/K431*100,"")</f>
        <v/>
      </c>
    </row>
    <row r="432">
      <c r="A432" s="2" t="n">
        <v>431</v>
      </c>
      <c r="B432" s="2" t="inlineStr">
        <is>
          <t>MF-ARZ</t>
        </is>
      </c>
      <c r="C432" s="2" t="inlineStr">
        <is>
          <t>MASCARILLA FACIAL ARROZ</t>
        </is>
      </c>
      <c r="D432" s="2" t="inlineStr">
        <is>
          <t>Belleza</t>
        </is>
      </c>
      <c r="E432" s="2" t="inlineStr">
        <is>
          <t>Cuidado Facial</t>
        </is>
      </c>
      <c r="F432" s="2" t="inlineStr">
        <is>
          <t>Mascarillas Faciales</t>
        </is>
      </c>
      <c r="G432" s="3" t="n">
        <v>312.5</v>
      </c>
      <c r="H432" s="4" t="n">
        <v>125</v>
      </c>
      <c r="I432" s="2" t="n">
        <v>98</v>
      </c>
      <c r="J432" s="5" t="n">
        <v>46135</v>
      </c>
      <c r="K432" s="3" t="n">
        <v>2.5</v>
      </c>
      <c r="L432" s="6" t="inlineStr"/>
      <c r="M432" s="7">
        <f>IF(L432&gt;0,(K432-L432)/K432*100,"")</f>
        <v/>
      </c>
    </row>
    <row r="433">
      <c r="A433" t="n">
        <v>432</v>
      </c>
      <c r="B433" t="inlineStr">
        <is>
          <t>MF-CA</t>
        </is>
      </c>
      <c r="C433" t="inlineStr">
        <is>
          <t>MASCARILLA FACIAL CARBON</t>
        </is>
      </c>
      <c r="D433" t="inlineStr">
        <is>
          <t>Belleza</t>
        </is>
      </c>
      <c r="E433" t="inlineStr">
        <is>
          <t>Cuidado Facial</t>
        </is>
      </c>
      <c r="F433" t="inlineStr">
        <is>
          <t>Mascarillas Faciales</t>
        </is>
      </c>
      <c r="G433" s="8" t="n">
        <v>312.5</v>
      </c>
      <c r="H433" s="9" t="n">
        <v>125</v>
      </c>
      <c r="I433" t="n">
        <v>98</v>
      </c>
      <c r="J433" s="10" t="n">
        <v>46145</v>
      </c>
      <c r="K433" s="8" t="n">
        <v>2.5</v>
      </c>
      <c r="L433" s="6" t="inlineStr"/>
      <c r="M433" s="7">
        <f>IF(L433&gt;0,(K433-L433)/K433*100,"")</f>
        <v/>
      </c>
    </row>
    <row r="434">
      <c r="A434" s="2" t="n">
        <v>433</v>
      </c>
      <c r="B434" s="2" t="inlineStr">
        <is>
          <t>MF-FPH</t>
        </is>
      </c>
      <c r="C434" s="2" t="inlineStr">
        <is>
          <t>MASCARILLA FACIAL PARA HOMBRE</t>
        </is>
      </c>
      <c r="D434" s="2" t="inlineStr">
        <is>
          <t>Belleza</t>
        </is>
      </c>
      <c r="E434" s="2" t="inlineStr">
        <is>
          <t>Cuidado Facial</t>
        </is>
      </c>
      <c r="F434" s="2" t="inlineStr">
        <is>
          <t>Mascarillas Faciales</t>
        </is>
      </c>
      <c r="G434" s="3" t="n">
        <v>312.5</v>
      </c>
      <c r="H434" s="4" t="n">
        <v>125</v>
      </c>
      <c r="I434" s="2" t="n">
        <v>107</v>
      </c>
      <c r="J434" s="5" t="n">
        <v>46175</v>
      </c>
      <c r="K434" s="3" t="n">
        <v>2.5</v>
      </c>
      <c r="L434" s="6" t="inlineStr"/>
      <c r="M434" s="7">
        <f>IF(L434&gt;0,(K434-L434)/K434*100,"")</f>
        <v/>
      </c>
    </row>
    <row r="435">
      <c r="A435" t="n">
        <v>434</v>
      </c>
      <c r="B435" t="inlineStr">
        <is>
          <t>GF-2712</t>
        </is>
      </c>
      <c r="C435" t="inlineStr">
        <is>
          <t>MASAJEADOR MANUAL</t>
        </is>
      </c>
      <c r="D435" t="inlineStr">
        <is>
          <t>Belleza</t>
        </is>
      </c>
      <c r="E435" t="inlineStr">
        <is>
          <t>Accesorios de Belleza</t>
        </is>
      </c>
      <c r="F435" t="inlineStr">
        <is>
          <t>Masajeadores y Gua Sha</t>
        </is>
      </c>
      <c r="G435" s="8" t="n">
        <v>312</v>
      </c>
      <c r="H435" s="9" t="n">
        <v>80</v>
      </c>
      <c r="I435" t="n">
        <v>76</v>
      </c>
      <c r="J435" s="10" t="n">
        <v>46157</v>
      </c>
      <c r="K435" s="8" t="n">
        <v>3.9</v>
      </c>
      <c r="L435" s="6" t="inlineStr"/>
      <c r="M435" s="7">
        <f>IF(L435&gt;0,(K435-L435)/K435*100,"")</f>
        <v/>
      </c>
    </row>
    <row r="436">
      <c r="A436" s="2" t="n">
        <v>435</v>
      </c>
      <c r="B436" s="2" t="inlineStr">
        <is>
          <t>ROMA-03CM</t>
        </is>
      </c>
      <c r="C436" s="2" t="inlineStr">
        <is>
          <t>Insecticida Sapolio Mata Todo 360Ml</t>
        </is>
      </c>
      <c r="D436" s="2" t="inlineStr">
        <is>
          <t>Limpieza</t>
        </is>
      </c>
      <c r="E436" s="2" t="inlineStr">
        <is>
          <t>Limpiadores Específicos</t>
        </is>
      </c>
      <c r="F436" s="2" t="inlineStr">
        <is>
          <t>Insecticidas</t>
        </is>
      </c>
      <c r="G436" s="3" t="n">
        <v>311.5</v>
      </c>
      <c r="H436" s="4" t="n">
        <v>35</v>
      </c>
      <c r="I436" s="2" t="n">
        <v>34</v>
      </c>
      <c r="J436" s="5" t="n">
        <v>46166</v>
      </c>
      <c r="K436" s="3" t="n">
        <v>8.9</v>
      </c>
      <c r="L436" s="6" t="inlineStr"/>
      <c r="M436" s="7">
        <f>IF(L436&gt;0,(K436-L436)/K436*100,"")</f>
        <v/>
      </c>
    </row>
    <row r="437">
      <c r="A437" t="n">
        <v>436</v>
      </c>
      <c r="B437" t="inlineStr">
        <is>
          <t>75633368128373</t>
        </is>
      </c>
      <c r="C437" t="inlineStr">
        <is>
          <t>PAPELOTE</t>
        </is>
      </c>
      <c r="D437" t="inlineStr">
        <is>
          <t>Librería y Oficina</t>
        </is>
      </c>
      <c r="E437" t="inlineStr">
        <is>
          <t>Útiles Escolares</t>
        </is>
      </c>
      <c r="F437" t="inlineStr">
        <is>
          <t>Papeles y Cartulinas</t>
        </is>
      </c>
      <c r="G437" s="8" t="n">
        <v>311.5</v>
      </c>
      <c r="H437" s="9" t="n">
        <v>805</v>
      </c>
      <c r="I437" t="n">
        <v>108</v>
      </c>
      <c r="J437" s="10" t="n">
        <v>46173</v>
      </c>
      <c r="K437" s="8" t="n">
        <v>0.39</v>
      </c>
      <c r="L437" s="6" t="inlineStr"/>
      <c r="M437" s="7">
        <f>IF(L437&gt;0,(K437-L437)/K437*100,"")</f>
        <v/>
      </c>
    </row>
    <row r="438">
      <c r="A438" s="2" t="n">
        <v>437</v>
      </c>
      <c r="B438" s="2" t="inlineStr">
        <is>
          <t>MS-2695</t>
        </is>
      </c>
      <c r="C438" s="2" t="inlineStr">
        <is>
          <t>TOMATODO CON OJITOS 1L</t>
        </is>
      </c>
      <c r="D438" s="2" t="inlineStr">
        <is>
          <t>Hogar y Decoración</t>
        </is>
      </c>
      <c r="E438" s="2" t="inlineStr">
        <is>
          <t>Menaje de Cocina</t>
        </is>
      </c>
      <c r="F438" s="2" t="inlineStr">
        <is>
          <t>Tomatodos y Botellas</t>
        </is>
      </c>
      <c r="G438" s="3" t="n">
        <v>309.4</v>
      </c>
      <c r="H438" s="4" t="n">
        <v>26</v>
      </c>
      <c r="I438" s="2" t="n">
        <v>23</v>
      </c>
      <c r="J438" s="5" t="n">
        <v>46109</v>
      </c>
      <c r="K438" s="3" t="n">
        <v>11.9</v>
      </c>
      <c r="L438" s="6" t="inlineStr"/>
      <c r="M438" s="7">
        <f>IF(L438&gt;0,(K438-L438)/K438*100,"")</f>
        <v/>
      </c>
    </row>
    <row r="439">
      <c r="A439" t="n">
        <v>438</v>
      </c>
      <c r="B439" t="inlineStr">
        <is>
          <t>76106757928229</t>
        </is>
      </c>
      <c r="C439" t="inlineStr">
        <is>
          <t>Bebida Frutado de Mango Baolisu Lata 180</t>
        </is>
      </c>
      <c r="D439" t="inlineStr">
        <is>
          <t>Alimentos y Bebidas Importadas</t>
        </is>
      </c>
      <c r="E439" t="inlineStr">
        <is>
          <t>Bebidas Asiáticas</t>
        </is>
      </c>
      <c r="F439" t="inlineStr">
        <is>
          <t>Jugo y Nata de Coco</t>
        </is>
      </c>
      <c r="G439" s="8" t="n">
        <v>308.1</v>
      </c>
      <c r="H439" s="9" t="n">
        <v>79</v>
      </c>
      <c r="I439" t="n">
        <v>73</v>
      </c>
      <c r="J439" s="10" t="n">
        <v>46159</v>
      </c>
      <c r="K439" s="8" t="n">
        <v>3.9</v>
      </c>
      <c r="L439" s="6" t="inlineStr"/>
      <c r="M439" s="7">
        <f>IF(L439&gt;0,(K439-L439)/K439*100,"")</f>
        <v/>
      </c>
    </row>
    <row r="440">
      <c r="A440" s="2" t="n">
        <v>439</v>
      </c>
      <c r="B440" s="2" t="inlineStr">
        <is>
          <t>704415</t>
        </is>
      </c>
      <c r="C440" s="2" t="inlineStr">
        <is>
          <t>25 SCOOL INV KOMBAT BOTELLA PP S/CAÑA 450ML HELLO KITT</t>
        </is>
      </c>
      <c r="D440" s="2" t="inlineStr">
        <is>
          <t>Librería y Oficina</t>
        </is>
      </c>
      <c r="E440" s="2" t="inlineStr">
        <is>
          <t>Loncheras y Taperes Escolares</t>
        </is>
      </c>
      <c r="F440" s="2" t="inlineStr">
        <is>
          <t>Botellas Escolares</t>
        </is>
      </c>
      <c r="G440" s="3" t="n">
        <v>307.31</v>
      </c>
      <c r="H440" s="4" t="n">
        <v>39</v>
      </c>
      <c r="I440" s="2" t="n">
        <v>39</v>
      </c>
      <c r="J440" s="5" t="n">
        <v>46109</v>
      </c>
      <c r="K440" s="3" t="n">
        <v>7.88</v>
      </c>
      <c r="L440" s="6" t="inlineStr"/>
      <c r="M440" s="7">
        <f>IF(L440&gt;0,(K440-L440)/K440*100,"")</f>
        <v/>
      </c>
    </row>
    <row r="441">
      <c r="A441" t="n">
        <v>440</v>
      </c>
      <c r="B441" t="inlineStr">
        <is>
          <t>75891958981211</t>
        </is>
      </c>
      <c r="C441" t="inlineStr">
        <is>
          <t>Caramelo Ambrosoli Arbolito 25x11.32Gr.</t>
        </is>
      </c>
      <c r="D441" t="inlineStr">
        <is>
          <t>Abarrotes</t>
        </is>
      </c>
      <c r="E441" t="inlineStr">
        <is>
          <t>Dulces y Chocolates</t>
        </is>
      </c>
      <c r="F441" t="inlineStr">
        <is>
          <t>Caramelos</t>
        </is>
      </c>
      <c r="G441" s="8" t="n">
        <v>306.8</v>
      </c>
      <c r="H441" s="9" t="n">
        <v>52</v>
      </c>
      <c r="I441" t="n">
        <v>42</v>
      </c>
      <c r="J441" s="10" t="n">
        <v>46116</v>
      </c>
      <c r="K441" s="8" t="n">
        <v>5.9</v>
      </c>
      <c r="L441" s="6" t="inlineStr"/>
      <c r="M441" s="7">
        <f>IF(L441&gt;0,(K441-L441)/K441*100,"")</f>
        <v/>
      </c>
    </row>
    <row r="442">
      <c r="A442" s="2" t="n">
        <v>441</v>
      </c>
      <c r="B442" s="2" t="inlineStr">
        <is>
          <t>77240956716796</t>
        </is>
      </c>
      <c r="C442" s="2" t="inlineStr">
        <is>
          <t>Detergente Aladino Aroma Limon 1Kg</t>
        </is>
      </c>
      <c r="D442" s="2" t="inlineStr">
        <is>
          <t>Limpieza</t>
        </is>
      </c>
      <c r="E442" s="2" t="inlineStr">
        <is>
          <t>Detergentes y Suavizantes</t>
        </is>
      </c>
      <c r="F442" s="2" t="inlineStr">
        <is>
          <t>Detergentes en Polvo</t>
        </is>
      </c>
      <c r="G442" s="3" t="n">
        <v>306.8</v>
      </c>
      <c r="H442" s="4" t="n">
        <v>52</v>
      </c>
      <c r="I442" s="2" t="n">
        <v>50</v>
      </c>
      <c r="J442" s="5" t="n">
        <v>46178</v>
      </c>
      <c r="K442" s="3" t="n">
        <v>5.9</v>
      </c>
      <c r="L442" s="6" t="inlineStr"/>
      <c r="M442" s="7">
        <f>IF(L442&gt;0,(K442-L442)/K442*100,"")</f>
        <v/>
      </c>
    </row>
    <row r="443">
      <c r="A443" t="n">
        <v>442</v>
      </c>
      <c r="B443" t="inlineStr">
        <is>
          <t>75866770108450</t>
        </is>
      </c>
      <c r="C443" t="inlineStr">
        <is>
          <t>FIDEOS SABOR CARNE DE VACUNO</t>
        </is>
      </c>
      <c r="D443" t="inlineStr">
        <is>
          <t>Alimentos y Bebidas Importadas</t>
        </is>
      </c>
      <c r="E443" t="inlineStr">
        <is>
          <t>Sopas y Fideos Instantáneos</t>
        </is>
      </c>
      <c r="F443" t="inlineStr">
        <is>
          <t>Fideos de Trigo (Ramen)</t>
        </is>
      </c>
      <c r="G443" s="8" t="n">
        <v>306</v>
      </c>
      <c r="H443" s="9" t="n">
        <v>36</v>
      </c>
      <c r="I443" t="n">
        <v>32</v>
      </c>
      <c r="J443" s="10" t="n">
        <v>46168</v>
      </c>
      <c r="K443" s="8" t="n">
        <v>8.5</v>
      </c>
      <c r="L443" s="6" t="inlineStr"/>
      <c r="M443" s="7">
        <f>IF(L443&gt;0,(K443-L443)/K443*100,"")</f>
        <v/>
      </c>
    </row>
    <row r="444">
      <c r="A444" s="2" t="n">
        <v>443</v>
      </c>
      <c r="B444" s="2" t="inlineStr">
        <is>
          <t>234405</t>
        </is>
      </c>
      <c r="C444" s="2" t="inlineStr">
        <is>
          <t>MADISON PREVENCIÓN Q10 MASCARILLA FACIAL 5UND</t>
        </is>
      </c>
      <c r="D444" s="2" t="inlineStr">
        <is>
          <t>Belleza</t>
        </is>
      </c>
      <c r="E444" s="2" t="inlineStr">
        <is>
          <t>Cuidado Facial</t>
        </is>
      </c>
      <c r="F444" s="2" t="inlineStr">
        <is>
          <t>Mascarillas Faciales</t>
        </is>
      </c>
      <c r="G444" s="3" t="n">
        <v>304.5</v>
      </c>
      <c r="H444" s="4" t="n">
        <v>87</v>
      </c>
      <c r="I444" s="2" t="n">
        <v>70</v>
      </c>
      <c r="J444" s="5" t="n">
        <v>46122</v>
      </c>
      <c r="K444" s="3" t="n">
        <v>3.5</v>
      </c>
      <c r="L444" s="6" t="inlineStr"/>
      <c r="M444" s="7">
        <f>IF(L444&gt;0,(K444-L444)/K444*100,"")</f>
        <v/>
      </c>
    </row>
    <row r="445">
      <c r="A445" t="n">
        <v>444</v>
      </c>
      <c r="B445" t="inlineStr">
        <is>
          <t>PL-18</t>
        </is>
      </c>
      <c r="C445" t="inlineStr">
        <is>
          <t>PORTAVIANDA CUADRADO 1.2K CON BROCHE x2</t>
        </is>
      </c>
      <c r="D445" t="inlineStr">
        <is>
          <t>Hogar y Decoración</t>
        </is>
      </c>
      <c r="E445" t="inlineStr">
        <is>
          <t>Menaje de Cocina</t>
        </is>
      </c>
      <c r="F445" t="inlineStr">
        <is>
          <t>Tapers y Contenedores</t>
        </is>
      </c>
      <c r="G445" s="8" t="n">
        <v>304</v>
      </c>
      <c r="H445" s="9" t="n">
        <v>47</v>
      </c>
      <c r="I445" t="n">
        <v>35</v>
      </c>
      <c r="J445" s="10" t="n">
        <v>46137</v>
      </c>
      <c r="K445" s="8" t="n">
        <v>6.49</v>
      </c>
      <c r="L445" s="6" t="inlineStr"/>
      <c r="M445" s="7">
        <f>IF(L445&gt;0,(K445-L445)/K445*100,"")</f>
        <v/>
      </c>
    </row>
    <row r="446">
      <c r="A446" s="2" t="n">
        <v>445</v>
      </c>
      <c r="B446" s="2" t="inlineStr">
        <is>
          <t>2000160048</t>
        </is>
      </c>
      <c r="C446" s="2" t="inlineStr">
        <is>
          <t>ESTUCHE GEOMÉTRICO LAYCONSA X 30CM PP ECO</t>
        </is>
      </c>
      <c r="D446" s="2" t="inlineStr">
        <is>
          <t>Librería y Oficina</t>
        </is>
      </c>
      <c r="E446" s="2" t="inlineStr">
        <is>
          <t>Útiles Escolares</t>
        </is>
      </c>
      <c r="F446" s="2" t="inlineStr">
        <is>
          <t>Estuches Geométricos</t>
        </is>
      </c>
      <c r="G446" s="3" t="n">
        <v>302.4</v>
      </c>
      <c r="H446" s="4" t="n">
        <v>87</v>
      </c>
      <c r="I446" s="2" t="n">
        <v>75</v>
      </c>
      <c r="J446" s="5" t="n">
        <v>46098</v>
      </c>
      <c r="K446" s="3" t="n">
        <v>3.49</v>
      </c>
      <c r="L446" s="6" t="inlineStr"/>
      <c r="M446" s="7">
        <f>IF(L446&gt;0,(K446-L446)/K446*100,"")</f>
        <v/>
      </c>
    </row>
    <row r="447">
      <c r="A447" t="n">
        <v>446</v>
      </c>
      <c r="B447" t="inlineStr">
        <is>
          <t>ESC-02</t>
        </is>
      </c>
      <c r="C447" t="inlineStr">
        <is>
          <t>SET DE TAJADOR 6 + BORRADOR 3</t>
        </is>
      </c>
      <c r="D447" t="inlineStr">
        <is>
          <t>Librería y Oficina</t>
        </is>
      </c>
      <c r="E447" t="inlineStr">
        <is>
          <t>Útiles Escolares</t>
        </is>
      </c>
      <c r="F447" t="inlineStr">
        <is>
          <t>Borradores y Tajadores</t>
        </is>
      </c>
      <c r="G447" s="8" t="n">
        <v>301.18</v>
      </c>
      <c r="H447" s="9" t="n">
        <v>82</v>
      </c>
      <c r="I447" t="n">
        <v>75</v>
      </c>
      <c r="J447" s="10" t="n">
        <v>46107</v>
      </c>
      <c r="K447" s="8" t="n">
        <v>3.7</v>
      </c>
      <c r="L447" s="6" t="inlineStr"/>
      <c r="M447" s="7">
        <f>IF(L447&gt;0,(K447-L447)/K447*100,"")</f>
        <v/>
      </c>
    </row>
    <row r="448">
      <c r="A448" s="2" t="n">
        <v>447</v>
      </c>
      <c r="B448" s="2" t="inlineStr">
        <is>
          <t>AGP-106</t>
        </is>
      </c>
      <c r="C448" s="2" t="inlineStr">
        <is>
          <t>POLVO ROSITA</t>
        </is>
      </c>
      <c r="D448" s="2" t="inlineStr">
        <is>
          <t>Belleza</t>
        </is>
      </c>
      <c r="E448" s="2" t="inlineStr">
        <is>
          <t>Maquillaje y Cosméticos</t>
        </is>
      </c>
      <c r="F448" s="2" t="inlineStr">
        <is>
          <t>Polvos y Rubores</t>
        </is>
      </c>
      <c r="G448" s="3" t="n">
        <v>300</v>
      </c>
      <c r="H448" s="4" t="n">
        <v>24</v>
      </c>
      <c r="I448" s="2" t="n">
        <v>24</v>
      </c>
      <c r="J448" s="5" t="n">
        <v>46174</v>
      </c>
      <c r="K448" s="3" t="n">
        <v>12.5</v>
      </c>
      <c r="L448" s="6" t="inlineStr"/>
      <c r="M448" s="7">
        <f>IF(L448&gt;0,(K448-L448)/K448*100,"")</f>
        <v/>
      </c>
    </row>
    <row r="449">
      <c r="A449" t="n">
        <v>448</v>
      </c>
      <c r="B449" t="inlineStr">
        <is>
          <t>76062984997311</t>
        </is>
      </c>
      <c r="C449" t="inlineStr">
        <is>
          <t>caramelo Mentos menta</t>
        </is>
      </c>
      <c r="D449" t="inlineStr">
        <is>
          <t>Abarrotes</t>
        </is>
      </c>
      <c r="E449" t="inlineStr">
        <is>
          <t>Dulces y Chocolates</t>
        </is>
      </c>
      <c r="F449" t="inlineStr">
        <is>
          <t>Caramelos</t>
        </is>
      </c>
      <c r="G449" s="8" t="n">
        <v>298.3</v>
      </c>
      <c r="H449" s="9" t="n">
        <v>157</v>
      </c>
      <c r="I449" t="n">
        <v>150</v>
      </c>
      <c r="J449" s="10" t="n">
        <v>46169</v>
      </c>
      <c r="K449" s="8" t="n">
        <v>1.9</v>
      </c>
      <c r="L449" s="6" t="inlineStr"/>
      <c r="M449" s="7">
        <f>IF(L449&gt;0,(K449-L449)/K449*100,"")</f>
        <v/>
      </c>
    </row>
    <row r="450">
      <c r="A450" s="2" t="n">
        <v>449</v>
      </c>
      <c r="B450" s="2" t="inlineStr">
        <is>
          <t>TY4342-2</t>
        </is>
      </c>
      <c r="C450" s="2" t="inlineStr">
        <is>
          <t>SET VASO VIDRIO X6</t>
        </is>
      </c>
      <c r="D450" s="2" t="inlineStr">
        <is>
          <t>Hogar y Decoración</t>
        </is>
      </c>
      <c r="E450" s="2" t="inlineStr">
        <is>
          <t>Menaje de Comedor</t>
        </is>
      </c>
      <c r="F450" s="2" t="inlineStr">
        <is>
          <t>Vasos</t>
        </is>
      </c>
      <c r="G450" s="3" t="n">
        <v>297.5</v>
      </c>
      <c r="H450" s="4" t="n">
        <v>25</v>
      </c>
      <c r="I450" s="2" t="n">
        <v>24</v>
      </c>
      <c r="J450" s="5" t="n">
        <v>46173</v>
      </c>
      <c r="K450" s="3" t="n">
        <v>11.9</v>
      </c>
      <c r="L450" s="6" t="inlineStr"/>
      <c r="M450" s="7">
        <f>IF(L450&gt;0,(K450-L450)/K450*100,"")</f>
        <v/>
      </c>
    </row>
    <row r="451">
      <c r="A451" t="n">
        <v>450</v>
      </c>
      <c r="B451" t="inlineStr">
        <is>
          <t>CRT-AZUL</t>
        </is>
      </c>
      <c r="C451" t="inlineStr">
        <is>
          <t>CARTUCHO ACRIMAX RECARGABLE R123 AZUL ARTESCO</t>
        </is>
      </c>
      <c r="D451" t="inlineStr">
        <is>
          <t>Librería y Oficina</t>
        </is>
      </c>
      <c r="E451" t="inlineStr">
        <is>
          <t>Útiles Escolares</t>
        </is>
      </c>
      <c r="F451" t="inlineStr">
        <is>
          <t>Cartuchos y Recargas</t>
        </is>
      </c>
      <c r="G451" s="8" t="n">
        <v>297.01</v>
      </c>
      <c r="H451" s="9" t="n">
        <v>125</v>
      </c>
      <c r="I451" t="n">
        <v>101</v>
      </c>
      <c r="J451" s="10" t="n">
        <v>46166</v>
      </c>
      <c r="K451" s="8" t="n">
        <v>2.38</v>
      </c>
      <c r="L451" s="6" t="inlineStr"/>
      <c r="M451" s="7">
        <f>IF(L451&gt;0,(K451-L451)/K451*100,"")</f>
        <v/>
      </c>
    </row>
    <row r="452">
      <c r="A452" s="2" t="n">
        <v>451</v>
      </c>
      <c r="B452" s="2" t="inlineStr">
        <is>
          <t>TG001-2</t>
        </is>
      </c>
      <c r="C452" s="2" t="inlineStr">
        <is>
          <t>AZUCARERA DE VIDRIO</t>
        </is>
      </c>
      <c r="D452" s="2" t="inlineStr">
        <is>
          <t>Hogar y Decoración</t>
        </is>
      </c>
      <c r="E452" s="2" t="inlineStr">
        <is>
          <t>Menaje de Comedor</t>
        </is>
      </c>
      <c r="F452" s="2" t="inlineStr">
        <is>
          <t>Accesorios de Mesa</t>
        </is>
      </c>
      <c r="G452" s="3" t="n">
        <v>296</v>
      </c>
      <c r="H452" s="4" t="n">
        <v>36</v>
      </c>
      <c r="I452" s="2" t="n">
        <v>14</v>
      </c>
      <c r="J452" s="5" t="n">
        <v>46145</v>
      </c>
      <c r="K452" s="3" t="n">
        <v>8.460000000000001</v>
      </c>
      <c r="L452" s="6" t="inlineStr"/>
      <c r="M452" s="7">
        <f>IF(L452&gt;0,(K452-L452)/K452*100,"")</f>
        <v/>
      </c>
    </row>
    <row r="453">
      <c r="A453" t="n">
        <v>452</v>
      </c>
      <c r="B453" t="inlineStr">
        <is>
          <t>444312</t>
        </is>
      </c>
      <c r="C453" t="inlineStr">
        <is>
          <t>PRESTIGE AZIZ EDP REGULAR 100ML</t>
        </is>
      </c>
      <c r="D453" t="inlineStr">
        <is>
          <t>Belleza</t>
        </is>
      </c>
      <c r="E453" t="inlineStr">
        <is>
          <t>Perfumes y Fragancias</t>
        </is>
      </c>
      <c r="F453" t="inlineStr">
        <is>
          <t>Perfumes para Mujer</t>
        </is>
      </c>
      <c r="G453" s="8" t="n">
        <v>295</v>
      </c>
      <c r="H453" s="9" t="n">
        <v>10</v>
      </c>
      <c r="I453" t="n">
        <v>5</v>
      </c>
      <c r="J453" s="10" t="n">
        <v>46175</v>
      </c>
      <c r="K453" s="8" t="n">
        <v>29.5</v>
      </c>
      <c r="L453" s="6" t="inlineStr"/>
      <c r="M453" s="7">
        <f>IF(L453&gt;0,(K453-L453)/K453*100,"")</f>
        <v/>
      </c>
    </row>
    <row r="454">
      <c r="A454" s="2" t="n">
        <v>453</v>
      </c>
      <c r="B454" s="2" t="inlineStr">
        <is>
          <t>390021</t>
        </is>
      </c>
      <c r="C454" s="2" t="inlineStr">
        <is>
          <t>SET TIJERA X12</t>
        </is>
      </c>
      <c r="D454" s="2" t="inlineStr">
        <is>
          <t>Librería y Oficina</t>
        </is>
      </c>
      <c r="E454" s="2" t="inlineStr">
        <is>
          <t>Útiles Escolares</t>
        </is>
      </c>
      <c r="F454" s="2" t="inlineStr">
        <is>
          <t>Tijeras y Reglas</t>
        </is>
      </c>
      <c r="G454" s="3" t="n">
        <v>294.95</v>
      </c>
      <c r="H454" s="4" t="n">
        <v>35</v>
      </c>
      <c r="I454" s="2" t="n">
        <v>28</v>
      </c>
      <c r="J454" s="5" t="n">
        <v>46118</v>
      </c>
      <c r="K454" s="3" t="n">
        <v>8.44</v>
      </c>
      <c r="L454" s="6" t="inlineStr"/>
      <c r="M454" s="7">
        <f>IF(L454&gt;0,(K454-L454)/K454*100,"")</f>
        <v/>
      </c>
    </row>
    <row r="455">
      <c r="A455" t="n">
        <v>454</v>
      </c>
      <c r="B455" t="inlineStr">
        <is>
          <t>6920077415726</t>
        </is>
      </c>
      <c r="C455" t="inlineStr">
        <is>
          <t>FIDEOS SABOR CARNE DE CERDO 105GR CAJ*</t>
        </is>
      </c>
      <c r="D455" t="inlineStr">
        <is>
          <t>Alimentos y Bebidas Importadas</t>
        </is>
      </c>
      <c r="E455" t="inlineStr">
        <is>
          <t>Sopas y Fideos Instantáneos</t>
        </is>
      </c>
      <c r="F455" t="inlineStr">
        <is>
          <t>Fideos de Trigo (Ramen)</t>
        </is>
      </c>
      <c r="G455" s="8" t="n">
        <v>294</v>
      </c>
      <c r="H455" s="9" t="n">
        <v>60</v>
      </c>
      <c r="I455" t="n">
        <v>52</v>
      </c>
      <c r="J455" s="10" t="n">
        <v>46177</v>
      </c>
      <c r="K455" s="8" t="n">
        <v>4.9</v>
      </c>
      <c r="L455" s="6" t="inlineStr"/>
      <c r="M455" s="7">
        <f>IF(L455&gt;0,(K455-L455)/K455*100,"")</f>
        <v/>
      </c>
    </row>
    <row r="456">
      <c r="A456" s="2" t="n">
        <v>455</v>
      </c>
      <c r="B456" s="2" t="inlineStr">
        <is>
          <t>77240956813472</t>
        </is>
      </c>
      <c r="C456" s="2" t="inlineStr">
        <is>
          <t>Gomitas Trululu Splash 80gr</t>
        </is>
      </c>
      <c r="D456" s="2" t="inlineStr">
        <is>
          <t>Abarrotes</t>
        </is>
      </c>
      <c r="E456" s="2" t="inlineStr">
        <is>
          <t>Dulces y Chocolates</t>
        </is>
      </c>
      <c r="F456" s="2" t="inlineStr">
        <is>
          <t>Gomitas</t>
        </is>
      </c>
      <c r="G456" s="3" t="n">
        <v>292.5</v>
      </c>
      <c r="H456" s="4" t="n">
        <v>117</v>
      </c>
      <c r="I456" s="2" t="n">
        <v>113</v>
      </c>
      <c r="J456" s="5" t="n">
        <v>46178</v>
      </c>
      <c r="K456" s="3" t="n">
        <v>2.5</v>
      </c>
      <c r="L456" s="6" t="inlineStr"/>
      <c r="M456" s="7">
        <f>IF(L456&gt;0,(K456-L456)/K456*100,"")</f>
        <v/>
      </c>
    </row>
    <row r="457">
      <c r="A457" t="n">
        <v>456</v>
      </c>
      <c r="B457" t="inlineStr">
        <is>
          <t>75755617640614</t>
        </is>
      </c>
      <c r="C457" t="inlineStr">
        <is>
          <t>Galletas con Crema Sabor Chocolate Hengy</t>
        </is>
      </c>
      <c r="D457" t="inlineStr">
        <is>
          <t>Alimentos y Bebidas Importadas</t>
        </is>
      </c>
      <c r="E457" t="inlineStr">
        <is>
          <t>Snacks y Dulces Asiáticos</t>
        </is>
      </c>
      <c r="F457" t="inlineStr">
        <is>
          <t>Galletas y Bocaditos Dulces</t>
        </is>
      </c>
      <c r="G457" s="8" t="n">
        <v>292.3</v>
      </c>
      <c r="H457" s="9" t="n">
        <v>37</v>
      </c>
      <c r="I457" t="n">
        <v>37</v>
      </c>
      <c r="J457" s="10" t="n">
        <v>46120</v>
      </c>
      <c r="K457" s="8" t="n">
        <v>7.9</v>
      </c>
      <c r="L457" s="6" t="inlineStr"/>
      <c r="M457" s="7">
        <f>IF(L457&gt;0,(K457-L457)/K457*100,"")</f>
        <v/>
      </c>
    </row>
    <row r="458">
      <c r="A458" s="2" t="n">
        <v>457</v>
      </c>
      <c r="B458" s="2" t="inlineStr">
        <is>
          <t>MOL800116</t>
        </is>
      </c>
      <c r="C458" s="2" t="inlineStr">
        <is>
          <t>Wafer Costa Tuyo 6x22Gr (PQTX12)</t>
        </is>
      </c>
      <c r="D458" s="2" t="inlineStr">
        <is>
          <t>Abarrotes</t>
        </is>
      </c>
      <c r="E458" s="2" t="inlineStr">
        <is>
          <t>Dulces y Chocolates</t>
        </is>
      </c>
      <c r="F458" s="2" t="inlineStr">
        <is>
          <t>Galletas</t>
        </is>
      </c>
      <c r="G458" s="3" t="n">
        <v>292</v>
      </c>
      <c r="H458" s="4" t="n">
        <v>74</v>
      </c>
      <c r="I458" s="2" t="n">
        <v>68</v>
      </c>
      <c r="J458" s="5" t="n">
        <v>46160</v>
      </c>
      <c r="K458" s="3" t="n">
        <v>3.94</v>
      </c>
      <c r="L458" s="6" t="inlineStr"/>
      <c r="M458" s="7">
        <f>IF(L458&gt;0,(K458-L458)/K458*100,"")</f>
        <v/>
      </c>
    </row>
    <row r="459">
      <c r="A459" t="n">
        <v>458</v>
      </c>
      <c r="B459" t="inlineStr">
        <is>
          <t>75961067320855</t>
        </is>
      </c>
      <c r="C459" t="inlineStr">
        <is>
          <t>Galleta Costa D ChocoDonuts Crunch 6x36Gr</t>
        </is>
      </c>
      <c r="D459" t="inlineStr">
        <is>
          <t>Abarrotes</t>
        </is>
      </c>
      <c r="E459" t="inlineStr">
        <is>
          <t>Dulces y Chocolates</t>
        </is>
      </c>
      <c r="F459" t="inlineStr">
        <is>
          <t>Galletas</t>
        </is>
      </c>
      <c r="G459" s="8" t="n">
        <v>291.2</v>
      </c>
      <c r="H459" s="9" t="n">
        <v>56</v>
      </c>
      <c r="I459" t="n">
        <v>53</v>
      </c>
      <c r="J459" s="10" t="n">
        <v>46165</v>
      </c>
      <c r="K459" s="8" t="n">
        <v>5.2</v>
      </c>
      <c r="L459" s="6" t="inlineStr"/>
      <c r="M459" s="7">
        <f>IF(L459&gt;0,(K459-L459)/K459*100,"")</f>
        <v/>
      </c>
    </row>
    <row r="460">
      <c r="A460" s="2" t="n">
        <v>459</v>
      </c>
      <c r="B460" s="2" t="inlineStr">
        <is>
          <t>75961067342733</t>
        </is>
      </c>
      <c r="C460" s="2" t="inlineStr">
        <is>
          <t>Galleta Costa D ChocoDonuts Leche 6x33Gr</t>
        </is>
      </c>
      <c r="D460" s="2" t="inlineStr">
        <is>
          <t>Abarrotes</t>
        </is>
      </c>
      <c r="E460" s="2" t="inlineStr">
        <is>
          <t>Dulces y Chocolates</t>
        </is>
      </c>
      <c r="F460" s="2" t="inlineStr">
        <is>
          <t>Galletas</t>
        </is>
      </c>
      <c r="G460" s="3" t="n">
        <v>291.2</v>
      </c>
      <c r="H460" s="4" t="n">
        <v>56</v>
      </c>
      <c r="I460" s="2" t="n">
        <v>55</v>
      </c>
      <c r="J460" s="5" t="n">
        <v>46173</v>
      </c>
      <c r="K460" s="3" t="n">
        <v>5.2</v>
      </c>
      <c r="L460" s="6" t="inlineStr"/>
      <c r="M460" s="7">
        <f>IF(L460&gt;0,(K460-L460)/K460*100,"")</f>
        <v/>
      </c>
    </row>
    <row r="461">
      <c r="A461" t="n">
        <v>460</v>
      </c>
      <c r="B461" t="inlineStr">
        <is>
          <t>360235</t>
        </is>
      </c>
      <c r="C461" t="inlineStr">
        <is>
          <t>ME TOO OPUS EDT 50ML</t>
        </is>
      </c>
      <c r="D461" t="inlineStr">
        <is>
          <t>Belleza</t>
        </is>
      </c>
      <c r="E461" t="inlineStr">
        <is>
          <t>Perfumes y Fragancias</t>
        </is>
      </c>
      <c r="F461" t="inlineStr">
        <is>
          <t>Perfumes para Hombre</t>
        </is>
      </c>
      <c r="G461" s="8" t="n">
        <v>290.3</v>
      </c>
      <c r="H461" s="9" t="n">
        <v>17</v>
      </c>
      <c r="I461" t="n">
        <v>17</v>
      </c>
      <c r="J461" s="10" t="n">
        <v>46175</v>
      </c>
      <c r="K461" s="8" t="n">
        <v>17.08</v>
      </c>
      <c r="L461" s="6" t="inlineStr"/>
      <c r="M461" s="7">
        <f>IF(L461&gt;0,(K461-L461)/K461*100,"")</f>
        <v/>
      </c>
    </row>
    <row r="462">
      <c r="A462" s="2" t="n">
        <v>461</v>
      </c>
      <c r="B462" s="2" t="inlineStr">
        <is>
          <t>MER-100</t>
        </is>
      </c>
      <c r="C462" s="2" t="inlineStr">
        <is>
          <t>SET LAPICERO ESCARCHADO X12</t>
        </is>
      </c>
      <c r="D462" s="2" t="inlineStr">
        <is>
          <t>Librería y Oficina</t>
        </is>
      </c>
      <c r="E462" s="2" t="inlineStr">
        <is>
          <t>Útiles Escolares</t>
        </is>
      </c>
      <c r="F462" s="2" t="inlineStr">
        <is>
          <t>Lápices y Lapiceros</t>
        </is>
      </c>
      <c r="G462" s="3" t="n">
        <v>289.99</v>
      </c>
      <c r="H462" s="4" t="n">
        <v>63</v>
      </c>
      <c r="I462" s="2" t="n">
        <v>49</v>
      </c>
      <c r="J462" s="5" t="n">
        <v>46097</v>
      </c>
      <c r="K462" s="3" t="n">
        <v>4.66</v>
      </c>
      <c r="L462" s="6" t="inlineStr"/>
      <c r="M462" s="7">
        <f>IF(L462&gt;0,(K462-L462)/K462*100,"")</f>
        <v/>
      </c>
    </row>
    <row r="463">
      <c r="A463" t="n">
        <v>462</v>
      </c>
      <c r="B463" t="inlineStr">
        <is>
          <t>LV-C</t>
        </is>
      </c>
      <c r="C463" t="inlineStr">
        <is>
          <t>LIMPIATIPO VINFAN COLORES</t>
        </is>
      </c>
      <c r="D463" t="inlineStr">
        <is>
          <t>Librería y Oficina</t>
        </is>
      </c>
      <c r="E463" t="inlineStr">
        <is>
          <t>Útiles Escolares</t>
        </is>
      </c>
      <c r="F463" t="inlineStr">
        <is>
          <t>Colores y Crayolas</t>
        </is>
      </c>
      <c r="G463" s="8" t="n">
        <v>289.16</v>
      </c>
      <c r="H463" s="9" t="n">
        <v>143</v>
      </c>
      <c r="I463" t="n">
        <v>104</v>
      </c>
      <c r="J463" s="10" t="n">
        <v>46106</v>
      </c>
      <c r="K463" s="8" t="n">
        <v>2.02</v>
      </c>
      <c r="L463" s="6" t="inlineStr"/>
      <c r="M463" s="7">
        <f>IF(L463&gt;0,(K463-L463)/K463*100,"")</f>
        <v/>
      </c>
    </row>
    <row r="464">
      <c r="A464" s="2" t="n">
        <v>463</v>
      </c>
      <c r="B464" s="2" t="inlineStr">
        <is>
          <t>76754493092178</t>
        </is>
      </c>
      <c r="C464" s="2" t="inlineStr">
        <is>
          <t>FID ARROZ (GUOQIAM) INST S/ESTOFADO PIC</t>
        </is>
      </c>
      <c r="D464" s="2" t="inlineStr">
        <is>
          <t>Alimentos y Bebidas Importadas</t>
        </is>
      </c>
      <c r="E464" s="2" t="inlineStr">
        <is>
          <t>Sopas y Fideos Instantáneos</t>
        </is>
      </c>
      <c r="F464" s="2" t="inlineStr">
        <is>
          <t>Fideos de Arroz</t>
        </is>
      </c>
      <c r="G464" s="3" t="n">
        <v>289</v>
      </c>
      <c r="H464" s="4" t="n">
        <v>34</v>
      </c>
      <c r="I464" s="2" t="n">
        <v>32</v>
      </c>
      <c r="J464" s="5" t="n">
        <v>46178</v>
      </c>
      <c r="K464" s="3" t="n">
        <v>8.5</v>
      </c>
      <c r="L464" s="6" t="inlineStr"/>
      <c r="M464" s="7">
        <f>IF(L464&gt;0,(K464-L464)/K464*100,"")</f>
        <v/>
      </c>
    </row>
    <row r="465">
      <c r="A465" t="n">
        <v>464</v>
      </c>
      <c r="B465" t="inlineStr">
        <is>
          <t>916-224</t>
        </is>
      </c>
      <c r="C465" t="inlineStr">
        <is>
          <t>JGT LABUBU GIRADOR</t>
        </is>
      </c>
      <c r="D465" t="inlineStr">
        <is>
          <t>Juguetes y Juegos</t>
        </is>
      </c>
      <c r="E465" t="inlineStr">
        <is>
          <t>Juguetes</t>
        </is>
      </c>
      <c r="F465" t="inlineStr">
        <is>
          <t>Juguetes Variados</t>
        </is>
      </c>
      <c r="G465" s="8" t="n">
        <v>288.12</v>
      </c>
      <c r="H465" s="9" t="n">
        <v>60</v>
      </c>
      <c r="I465" t="n">
        <v>41</v>
      </c>
      <c r="J465" s="10" t="n">
        <v>46127</v>
      </c>
      <c r="K465" s="8" t="n">
        <v>4.89</v>
      </c>
      <c r="L465" s="6" t="inlineStr"/>
      <c r="M465" s="7">
        <f>IF(L465&gt;0,(K465-L465)/K465*100,"")</f>
        <v/>
      </c>
    </row>
    <row r="466">
      <c r="A466" s="2" t="n">
        <v>465</v>
      </c>
      <c r="B466" s="2" t="inlineStr">
        <is>
          <t>BW60447</t>
        </is>
      </c>
      <c r="C466" s="2" t="inlineStr">
        <is>
          <t>BYWIN TOALLITAS HUMEDAS X 100 UND UNIVERSITARIO GARRITA</t>
        </is>
      </c>
      <c r="D466" s="2" t="inlineStr">
        <is>
          <t>Cuidado Personal y Salud</t>
        </is>
      </c>
      <c r="E466" s="2" t="inlineStr">
        <is>
          <t>Toallitas Húmedas</t>
        </is>
      </c>
      <c r="F466" s="2" t="inlineStr">
        <is>
          <t>Toallitas Húmedas con Licencia</t>
        </is>
      </c>
      <c r="G466" s="3" t="n">
        <v>288</v>
      </c>
      <c r="H466" s="4" t="n">
        <v>80</v>
      </c>
      <c r="I466" s="2" t="n">
        <v>57</v>
      </c>
      <c r="J466" s="5" t="n">
        <v>46100</v>
      </c>
      <c r="K466" s="3" t="n">
        <v>3.6</v>
      </c>
      <c r="L466" s="6" t="inlineStr"/>
      <c r="M466" s="7">
        <f>IF(L466&gt;0,(K466-L466)/K466*100,"")</f>
        <v/>
      </c>
    </row>
    <row r="467">
      <c r="A467" t="n">
        <v>466</v>
      </c>
      <c r="B467" t="inlineStr">
        <is>
          <t>704005</t>
        </is>
      </c>
      <c r="C467" t="inlineStr">
        <is>
          <t>25 SCOOL BOT PP 590ML C/CAÑA HELLO KITTY</t>
        </is>
      </c>
      <c r="D467" t="inlineStr">
        <is>
          <t>Librería y Oficina</t>
        </is>
      </c>
      <c r="E467" t="inlineStr">
        <is>
          <t>Loncheras y Taperes Escolares</t>
        </is>
      </c>
      <c r="F467" t="inlineStr">
        <is>
          <t>Botellas Escolares</t>
        </is>
      </c>
      <c r="G467" s="8" t="n">
        <v>285.6</v>
      </c>
      <c r="H467" s="9" t="n">
        <v>24</v>
      </c>
      <c r="I467" t="n">
        <v>24</v>
      </c>
      <c r="J467" s="10" t="n">
        <v>46129</v>
      </c>
      <c r="K467" s="8" t="n">
        <v>11.9</v>
      </c>
      <c r="L467" s="6" t="inlineStr"/>
      <c r="M467" s="7">
        <f>IF(L467&gt;0,(K467-L467)/K467*100,"")</f>
        <v/>
      </c>
    </row>
    <row r="468">
      <c r="A468" s="2" t="n">
        <v>467</v>
      </c>
      <c r="B468" s="2" t="inlineStr">
        <is>
          <t>6956588509173</t>
        </is>
      </c>
      <c r="C468" s="2" t="inlineStr">
        <is>
          <t>CARAMELOS BLANDOS RELLENOS S/ SANDIA</t>
        </is>
      </c>
      <c r="D468" s="2" t="inlineStr">
        <is>
          <t>Alimentos y Bebidas Importadas</t>
        </is>
      </c>
      <c r="E468" s="2" t="inlineStr">
        <is>
          <t>Snacks y Dulces Asiáticos</t>
        </is>
      </c>
      <c r="F468" s="2" t="inlineStr">
        <is>
          <t>Caramelos y Gomitas</t>
        </is>
      </c>
      <c r="G468" s="3" t="n">
        <v>285</v>
      </c>
      <c r="H468" s="4" t="n">
        <v>30</v>
      </c>
      <c r="I468" s="2" t="n">
        <v>30</v>
      </c>
      <c r="J468" s="5" t="n">
        <v>46140</v>
      </c>
      <c r="K468" s="3" t="n">
        <v>9.5</v>
      </c>
      <c r="L468" s="6" t="inlineStr"/>
      <c r="M468" s="7">
        <f>IF(L468&gt;0,(K468-L468)/K468*100,"")</f>
        <v/>
      </c>
    </row>
    <row r="469">
      <c r="A469" t="n">
        <v>468</v>
      </c>
      <c r="B469" t="inlineStr">
        <is>
          <t>6956588509005</t>
        </is>
      </c>
      <c r="C469" t="inlineStr">
        <is>
          <t>CARAMELOS RELLENOS SABOR A LYCHEE 3</t>
        </is>
      </c>
      <c r="D469" t="inlineStr">
        <is>
          <t>Alimentos y Bebidas Importadas</t>
        </is>
      </c>
      <c r="E469" t="inlineStr">
        <is>
          <t>Snacks y Dulces Asiáticos</t>
        </is>
      </c>
      <c r="F469" t="inlineStr">
        <is>
          <t>Caramelos y Gomitas</t>
        </is>
      </c>
      <c r="G469" s="8" t="n">
        <v>285</v>
      </c>
      <c r="H469" s="9" t="n">
        <v>30</v>
      </c>
      <c r="I469" t="n">
        <v>29</v>
      </c>
      <c r="J469" s="10" t="n">
        <v>46145</v>
      </c>
      <c r="K469" s="8" t="n">
        <v>9.5</v>
      </c>
      <c r="L469" s="6" t="inlineStr"/>
      <c r="M469" s="7">
        <f>IF(L469&gt;0,(K469-L469)/K469*100,"")</f>
        <v/>
      </c>
    </row>
    <row r="470">
      <c r="A470" s="2" t="n">
        <v>469</v>
      </c>
      <c r="B470" s="2" t="inlineStr">
        <is>
          <t>703637</t>
        </is>
      </c>
      <c r="C470" s="2" t="inlineStr">
        <is>
          <t>24 SCOOL INV BOT PP 590ML C/CAÑA HELLO KITTY</t>
        </is>
      </c>
      <c r="D470" s="2" t="inlineStr">
        <is>
          <t>Librería y Oficina</t>
        </is>
      </c>
      <c r="E470" s="2" t="inlineStr">
        <is>
          <t>Loncheras y Taperes Escolares</t>
        </is>
      </c>
      <c r="F470" s="2" t="inlineStr">
        <is>
          <t>Botellas Escolares</t>
        </is>
      </c>
      <c r="G470" s="3" t="n">
        <v>284.65</v>
      </c>
      <c r="H470" s="4" t="n">
        <v>24</v>
      </c>
      <c r="I470" s="2" t="n">
        <v>24</v>
      </c>
      <c r="J470" s="5" t="n">
        <v>46113</v>
      </c>
      <c r="K470" s="3" t="n">
        <v>11.86</v>
      </c>
      <c r="L470" s="6" t="inlineStr"/>
      <c r="M470" s="7">
        <f>IF(L470&gt;0,(K470-L470)/K470*100,"")</f>
        <v/>
      </c>
    </row>
    <row r="471">
      <c r="A471" t="n">
        <v>470</v>
      </c>
      <c r="B471" t="inlineStr">
        <is>
          <t>77204701932167</t>
        </is>
      </c>
      <c r="C471" t="inlineStr">
        <is>
          <t>PASTEL EN ROLLO RELL C/CREMA DE NARAN</t>
        </is>
      </c>
      <c r="D471" t="inlineStr">
        <is>
          <t>Alimentos y Bebidas Importadas</t>
        </is>
      </c>
      <c r="E471" t="inlineStr">
        <is>
          <t>Snacks y Dulces Asiáticos</t>
        </is>
      </c>
      <c r="F471" t="inlineStr">
        <is>
          <t>Chocolates y Pasteles</t>
        </is>
      </c>
      <c r="G471" s="8" t="n">
        <v>283.1</v>
      </c>
      <c r="H471" s="9" t="n">
        <v>19</v>
      </c>
      <c r="I471" t="n">
        <v>19</v>
      </c>
      <c r="J471" s="10" t="n">
        <v>46136</v>
      </c>
      <c r="K471" s="8" t="n">
        <v>14.9</v>
      </c>
      <c r="L471" s="6" t="inlineStr"/>
      <c r="M471" s="7">
        <f>IF(L471&gt;0,(K471-L471)/K471*100,"")</f>
        <v/>
      </c>
    </row>
    <row r="472">
      <c r="A472" s="2" t="n">
        <v>471</v>
      </c>
      <c r="B472" s="2" t="inlineStr">
        <is>
          <t>21405</t>
        </is>
      </c>
      <c r="C472" s="2" t="inlineStr">
        <is>
          <t>AQUA BEBÉ JABÓN DE GLICERINA 100G</t>
        </is>
      </c>
      <c r="D472" s="2" t="inlineStr">
        <is>
          <t>Cuidado Personal y Salud</t>
        </is>
      </c>
      <c r="E472" s="2" t="inlineStr">
        <is>
          <t>Higiene Personal</t>
        </is>
      </c>
      <c r="F472" s="2" t="inlineStr">
        <is>
          <t>Jabones Corporales</t>
        </is>
      </c>
      <c r="G472" s="3" t="n">
        <v>282.5</v>
      </c>
      <c r="H472" s="4" t="n">
        <v>113</v>
      </c>
      <c r="I472" s="2" t="n">
        <v>91</v>
      </c>
      <c r="J472" s="5" t="n">
        <v>46112</v>
      </c>
      <c r="K472" s="3" t="n">
        <v>2.5</v>
      </c>
      <c r="L472" s="6" t="inlineStr"/>
      <c r="M472" s="7">
        <f>IF(L472&gt;0,(K472-L472)/K472*100,"")</f>
        <v/>
      </c>
    </row>
    <row r="473">
      <c r="A473" t="n">
        <v>472</v>
      </c>
      <c r="B473" t="inlineStr">
        <is>
          <t>76203884809132</t>
        </is>
      </c>
      <c r="C473" t="inlineStr">
        <is>
          <t>Masmelos Trululu Franki50gr</t>
        </is>
      </c>
      <c r="D473" t="inlineStr">
        <is>
          <t>Abarrotes</t>
        </is>
      </c>
      <c r="E473" t="inlineStr">
        <is>
          <t>Dulces y Chocolates</t>
        </is>
      </c>
      <c r="F473" t="inlineStr">
        <is>
          <t>Marshmallows</t>
        </is>
      </c>
      <c r="G473" s="8" t="n">
        <v>282.5</v>
      </c>
      <c r="H473" s="9" t="n">
        <v>113</v>
      </c>
      <c r="I473" t="n">
        <v>107</v>
      </c>
      <c r="J473" s="10" t="n">
        <v>46178</v>
      </c>
      <c r="K473" s="8" t="n">
        <v>2.5</v>
      </c>
      <c r="L473" s="6" t="inlineStr"/>
      <c r="M473" s="7">
        <f>IF(L473&gt;0,(K473-L473)/K473*100,"")</f>
        <v/>
      </c>
    </row>
    <row r="474">
      <c r="A474" s="2" t="n">
        <v>473</v>
      </c>
      <c r="B474" s="2" t="inlineStr">
        <is>
          <t>RR0037</t>
        </is>
      </c>
      <c r="C474" s="2" t="inlineStr">
        <is>
          <t>SET CINTA X18</t>
        </is>
      </c>
      <c r="D474" s="2" t="inlineStr">
        <is>
          <t>Librería y Oficina</t>
        </is>
      </c>
      <c r="E474" s="2" t="inlineStr">
        <is>
          <t>Útiles Escolares</t>
        </is>
      </c>
      <c r="F474" s="2" t="inlineStr">
        <is>
          <t>Cintas y Contact</t>
        </is>
      </c>
      <c r="G474" s="3" t="n">
        <v>280.5</v>
      </c>
      <c r="H474" s="4" t="n">
        <v>57</v>
      </c>
      <c r="I474" s="2" t="n">
        <v>50</v>
      </c>
      <c r="J474" s="5" t="n">
        <v>46102</v>
      </c>
      <c r="K474" s="3" t="n">
        <v>4.96</v>
      </c>
      <c r="L474" s="6" t="inlineStr"/>
      <c r="M474" s="7">
        <f>IF(L474&gt;0,(K474-L474)/K474*100,"")</f>
        <v/>
      </c>
    </row>
    <row r="475">
      <c r="A475" t="n">
        <v>474</v>
      </c>
      <c r="B475" t="inlineStr">
        <is>
          <t>75755617812540</t>
        </is>
      </c>
      <c r="C475" t="inlineStr">
        <is>
          <t>Bebida de Aloe sabor Piña Baolisu 500ml</t>
        </is>
      </c>
      <c r="D475" t="inlineStr">
        <is>
          <t>Alimentos y Bebidas Importadas</t>
        </is>
      </c>
      <c r="E475" t="inlineStr">
        <is>
          <t>Bebidas Asiáticas</t>
        </is>
      </c>
      <c r="F475" t="inlineStr">
        <is>
          <t>Aloe Vera</t>
        </is>
      </c>
      <c r="G475" s="8" t="n">
        <v>278</v>
      </c>
      <c r="H475" s="9" t="n">
        <v>43</v>
      </c>
      <c r="I475" t="n">
        <v>39</v>
      </c>
      <c r="J475" s="10" t="n">
        <v>46175</v>
      </c>
      <c r="K475" s="8" t="n">
        <v>6.46</v>
      </c>
      <c r="L475" s="6" t="inlineStr"/>
      <c r="M475" s="7">
        <f>IF(L475&gt;0,(K475-L475)/K475*100,"")</f>
        <v/>
      </c>
    </row>
    <row r="476">
      <c r="A476" s="2" t="n">
        <v>475</v>
      </c>
      <c r="B476" s="2" t="inlineStr">
        <is>
          <t>76754493032919</t>
        </is>
      </c>
      <c r="C476" s="2" t="inlineStr">
        <is>
          <t>FIDEOS SABOR DE MARISCOS 103GR CAJA*24</t>
        </is>
      </c>
      <c r="D476" s="2" t="inlineStr">
        <is>
          <t>Alimentos y Bebidas Importadas</t>
        </is>
      </c>
      <c r="E476" s="2" t="inlineStr">
        <is>
          <t>Sopas y Fideos Instantáneos</t>
        </is>
      </c>
      <c r="F476" s="2" t="inlineStr">
        <is>
          <t>Fideos de Trigo (Ramen)</t>
        </is>
      </c>
      <c r="G476" s="3" t="n">
        <v>274.4</v>
      </c>
      <c r="H476" s="4" t="n">
        <v>56</v>
      </c>
      <c r="I476" s="2" t="n">
        <v>49</v>
      </c>
      <c r="J476" s="5" t="n">
        <v>46177</v>
      </c>
      <c r="K476" s="3" t="n">
        <v>4.9</v>
      </c>
      <c r="L476" s="6" t="inlineStr"/>
      <c r="M476" s="7">
        <f>IF(L476&gt;0,(K476-L476)/K476*100,"")</f>
        <v/>
      </c>
    </row>
    <row r="477">
      <c r="A477" t="n">
        <v>476</v>
      </c>
      <c r="B477" t="inlineStr">
        <is>
          <t>NEW254A-NEW254B</t>
        </is>
      </c>
      <c r="C477" t="inlineStr">
        <is>
          <t>JGT MUÑECA BEBE GORDA (2C X 18)</t>
        </is>
      </c>
      <c r="D477" t="inlineStr">
        <is>
          <t>Juguetes y Juegos</t>
        </is>
      </c>
      <c r="E477" t="inlineStr">
        <is>
          <t>Juguetes</t>
        </is>
      </c>
      <c r="F477" t="inlineStr">
        <is>
          <t>Juguetes Variados</t>
        </is>
      </c>
      <c r="G477" s="8" t="n">
        <v>273.91</v>
      </c>
      <c r="H477" s="9" t="n">
        <v>5</v>
      </c>
      <c r="I477" t="n">
        <v>5</v>
      </c>
      <c r="J477" s="10" t="n">
        <v>46176</v>
      </c>
      <c r="K477" s="8" t="n">
        <v>54.78</v>
      </c>
      <c r="L477" s="6" t="inlineStr"/>
      <c r="M477" s="7">
        <f>IF(L477&gt;0,(K477-L477)/K477*100,"")</f>
        <v/>
      </c>
    </row>
    <row r="478">
      <c r="A478" s="2" t="n">
        <v>477</v>
      </c>
      <c r="B478" s="2" t="inlineStr">
        <is>
          <t>2110050015</t>
        </is>
      </c>
      <c r="C478" s="2" t="inlineStr">
        <is>
          <t>PLASTILINA LAYCONSA PUPPY JUMBO X 12</t>
        </is>
      </c>
      <c r="D478" s="2" t="inlineStr">
        <is>
          <t>Librería y Oficina</t>
        </is>
      </c>
      <c r="E478" s="2" t="inlineStr">
        <is>
          <t>Útiles Escolares</t>
        </is>
      </c>
      <c r="F478" s="2" t="inlineStr">
        <is>
          <t>Plastilinas y Masas</t>
        </is>
      </c>
      <c r="G478" s="3" t="n">
        <v>273.47</v>
      </c>
      <c r="H478" s="4" t="n">
        <v>72</v>
      </c>
      <c r="I478" s="2" t="n">
        <v>53</v>
      </c>
      <c r="J478" s="5" t="n">
        <v>46143</v>
      </c>
      <c r="K478" s="3" t="n">
        <v>3.86</v>
      </c>
      <c r="L478" s="6" t="inlineStr"/>
      <c r="M478" s="7">
        <f>IF(L478&gt;0,(K478-L478)/K478*100,"")</f>
        <v/>
      </c>
    </row>
    <row r="479">
      <c r="A479" t="n">
        <v>478</v>
      </c>
      <c r="B479" t="inlineStr">
        <is>
          <t>234403</t>
        </is>
      </c>
      <c r="C479" t="inlineStr">
        <is>
          <t>MADISON NIACINAMIDA MASCARILLA FACIAL 5UND</t>
        </is>
      </c>
      <c r="D479" t="inlineStr">
        <is>
          <t>Belleza</t>
        </is>
      </c>
      <c r="E479" t="inlineStr">
        <is>
          <t>Cuidado Facial</t>
        </is>
      </c>
      <c r="F479" t="inlineStr">
        <is>
          <t>Mascarillas Faciales</t>
        </is>
      </c>
      <c r="G479" s="8" t="n">
        <v>273</v>
      </c>
      <c r="H479" s="9" t="n">
        <v>78</v>
      </c>
      <c r="I479" t="n">
        <v>67</v>
      </c>
      <c r="J479" s="10" t="n">
        <v>46178</v>
      </c>
      <c r="K479" s="8" t="n">
        <v>3.5</v>
      </c>
      <c r="L479" s="6" t="inlineStr"/>
      <c r="M479" s="7">
        <f>IF(L479&gt;0,(K479-L479)/K479*100,"")</f>
        <v/>
      </c>
    </row>
    <row r="480">
      <c r="A480" s="2" t="n">
        <v>479</v>
      </c>
      <c r="B480" s="2" t="inlineStr">
        <is>
          <t>704320</t>
        </is>
      </c>
      <c r="C480" s="2" t="inlineStr">
        <is>
          <t>25 SCOOL INV BOTELLA PP 590ML C/CAÑA POCOYO</t>
        </is>
      </c>
      <c r="D480" s="2" t="inlineStr">
        <is>
          <t>Librería y Oficina</t>
        </is>
      </c>
      <c r="E480" s="2" t="inlineStr">
        <is>
          <t>Loncheras y Taperes Escolares</t>
        </is>
      </c>
      <c r="F480" s="2" t="inlineStr">
        <is>
          <t>Botellas Escolares</t>
        </is>
      </c>
      <c r="G480" s="3" t="n">
        <v>272.75</v>
      </c>
      <c r="H480" s="4" t="n">
        <v>23</v>
      </c>
      <c r="I480" s="2" t="n">
        <v>23</v>
      </c>
      <c r="J480" s="5" t="n">
        <v>46134</v>
      </c>
      <c r="K480" s="3" t="n">
        <v>11.86</v>
      </c>
      <c r="L480" s="6" t="inlineStr"/>
      <c r="M480" s="7">
        <f>IF(L480&gt;0,(K480-L480)/K480*100,"")</f>
        <v/>
      </c>
    </row>
    <row r="481">
      <c r="A481" t="n">
        <v>480</v>
      </c>
      <c r="B481" t="inlineStr">
        <is>
          <t>AGB-50</t>
        </is>
      </c>
      <c r="C481" t="inlineStr">
        <is>
          <t>BASE LOVE BB CREAM</t>
        </is>
      </c>
      <c r="D481" t="inlineStr">
        <is>
          <t>Belleza</t>
        </is>
      </c>
      <c r="E481" t="inlineStr">
        <is>
          <t>Maquillaje y Cosméticos</t>
        </is>
      </c>
      <c r="F481" t="inlineStr">
        <is>
          <t>Base y Correctores</t>
        </is>
      </c>
      <c r="G481" s="8" t="n">
        <v>272.35</v>
      </c>
      <c r="H481" s="9" t="n">
        <v>21</v>
      </c>
      <c r="I481" t="n">
        <v>20</v>
      </c>
      <c r="J481" s="10" t="n">
        <v>46124</v>
      </c>
      <c r="K481" s="8" t="n">
        <v>12.97</v>
      </c>
      <c r="L481" s="6" t="inlineStr"/>
      <c r="M481" s="7">
        <f>IF(L481&gt;0,(K481-L481)/K481*100,"")</f>
        <v/>
      </c>
    </row>
    <row r="482">
      <c r="A482" s="2" t="n">
        <v>481</v>
      </c>
      <c r="B482" s="2" t="inlineStr">
        <is>
          <t>360223</t>
        </is>
      </c>
      <c r="C482" s="2" t="inlineStr">
        <is>
          <t>ME TOO FORCE EDT 50ML</t>
        </is>
      </c>
      <c r="D482" s="2" t="inlineStr">
        <is>
          <t>Belleza</t>
        </is>
      </c>
      <c r="E482" s="2" t="inlineStr">
        <is>
          <t>Perfumes y Fragancias</t>
        </is>
      </c>
      <c r="F482" s="2" t="inlineStr">
        <is>
          <t>Perfumes para Hombre</t>
        </is>
      </c>
      <c r="G482" s="3" t="n">
        <v>270.4</v>
      </c>
      <c r="H482" s="4" t="n">
        <v>16</v>
      </c>
      <c r="I482" s="2" t="n">
        <v>15</v>
      </c>
      <c r="J482" s="5" t="n">
        <v>46161</v>
      </c>
      <c r="K482" s="3" t="n">
        <v>16.9</v>
      </c>
      <c r="L482" s="6" t="inlineStr"/>
      <c r="M482" s="7">
        <f>IF(L482&gt;0,(K482-L482)/K482*100,"")</f>
        <v/>
      </c>
    </row>
    <row r="483">
      <c r="A483" t="n">
        <v>482</v>
      </c>
      <c r="B483" t="inlineStr">
        <is>
          <t>230022</t>
        </is>
      </c>
      <c r="C483" t="inlineStr">
        <is>
          <t>SET CAJA ARENERA para mascota</t>
        </is>
      </c>
      <c r="D483" t="inlineStr">
        <is>
          <t>Mascotas</t>
        </is>
      </c>
      <c r="E483" t="inlineStr">
        <is>
          <t>Accesorios para Mascotas</t>
        </is>
      </c>
      <c r="F483" t="inlineStr">
        <is>
          <t>Accesorios y Juguetes para Mascotas</t>
        </is>
      </c>
      <c r="G483" s="8" t="n">
        <v>270</v>
      </c>
      <c r="H483" s="9" t="n">
        <v>20</v>
      </c>
      <c r="I483" t="n">
        <v>16</v>
      </c>
      <c r="J483" s="10" t="n">
        <v>46169</v>
      </c>
      <c r="K483" s="8" t="n">
        <v>13.5</v>
      </c>
      <c r="L483" s="6" t="inlineStr"/>
      <c r="M483" s="7">
        <f>IF(L483&gt;0,(K483-L483)/K483*100,"")</f>
        <v/>
      </c>
    </row>
    <row r="484">
      <c r="A484" s="2" t="n">
        <v>483</v>
      </c>
      <c r="B484" s="2" t="inlineStr">
        <is>
          <t>77204701962098</t>
        </is>
      </c>
      <c r="C484" s="2" t="inlineStr">
        <is>
          <t>CARAMELOS RELLENOS SABOR A FRESA 32</t>
        </is>
      </c>
      <c r="D484" s="2" t="inlineStr">
        <is>
          <t>Alimentos y Bebidas Importadas</t>
        </is>
      </c>
      <c r="E484" s="2" t="inlineStr">
        <is>
          <t>Snacks y Dulces Asiáticos</t>
        </is>
      </c>
      <c r="F484" s="2" t="inlineStr">
        <is>
          <t>Caramelos y Gomitas</t>
        </is>
      </c>
      <c r="G484" s="3" t="n">
        <v>267</v>
      </c>
      <c r="H484" s="4" t="n">
        <v>30</v>
      </c>
      <c r="I484" s="2" t="n">
        <v>29</v>
      </c>
      <c r="J484" s="5" t="n">
        <v>46102</v>
      </c>
      <c r="K484" s="3" t="n">
        <v>8.9</v>
      </c>
      <c r="L484" s="6" t="inlineStr"/>
      <c r="M484" s="7">
        <f>IF(L484&gt;0,(K484-L484)/K484*100,"")</f>
        <v/>
      </c>
    </row>
    <row r="485">
      <c r="A485" t="n">
        <v>484</v>
      </c>
      <c r="B485" t="inlineStr">
        <is>
          <t>77204702059170</t>
        </is>
      </c>
      <c r="C485" t="inlineStr">
        <is>
          <t>BEBIDA DE ZUMO SABOR A KIWI 480ML CJ*1</t>
        </is>
      </c>
      <c r="D485" t="inlineStr">
        <is>
          <t>Alimentos y Bebidas Importadas</t>
        </is>
      </c>
      <c r="E485" t="inlineStr">
        <is>
          <t>Bebidas Asiáticas</t>
        </is>
      </c>
      <c r="F485" t="inlineStr">
        <is>
          <t>Jugo y Nata de Coco</t>
        </is>
      </c>
      <c r="G485" s="8" t="n">
        <v>265.5</v>
      </c>
      <c r="H485" s="9" t="n">
        <v>45</v>
      </c>
      <c r="I485" t="n">
        <v>44</v>
      </c>
      <c r="J485" s="10" t="n">
        <v>46175</v>
      </c>
      <c r="K485" s="8" t="n">
        <v>5.9</v>
      </c>
      <c r="L485" s="6" t="inlineStr"/>
      <c r="M485" s="7">
        <f>IF(L485&gt;0,(K485-L485)/K485*100,"")</f>
        <v/>
      </c>
    </row>
    <row r="486">
      <c r="A486" s="2" t="n">
        <v>485</v>
      </c>
      <c r="B486" s="2" t="inlineStr">
        <is>
          <t>75875160809664</t>
        </is>
      </c>
      <c r="C486" s="2" t="inlineStr">
        <is>
          <t>Detergente Topaz Nueva Formula Aroma Floral 1Kg</t>
        </is>
      </c>
      <c r="D486" s="2" t="inlineStr">
        <is>
          <t>Limpieza</t>
        </is>
      </c>
      <c r="E486" s="2" t="inlineStr">
        <is>
          <t>Detergentes y Suavizantes</t>
        </is>
      </c>
      <c r="F486" s="2" t="inlineStr">
        <is>
          <t>Detergentes en Polvo</t>
        </is>
      </c>
      <c r="G486" s="3" t="n">
        <v>265.5</v>
      </c>
      <c r="H486" s="4" t="n">
        <v>45</v>
      </c>
      <c r="I486" s="2" t="n">
        <v>37</v>
      </c>
      <c r="J486" s="5" t="n">
        <v>46177</v>
      </c>
      <c r="K486" s="3" t="n">
        <v>5.9</v>
      </c>
      <c r="L486" s="6" t="inlineStr"/>
      <c r="M486" s="7">
        <f>IF(L486&gt;0,(K486-L486)/K486*100,"")</f>
        <v/>
      </c>
    </row>
    <row r="487">
      <c r="A487" t="n">
        <v>486</v>
      </c>
      <c r="B487" t="inlineStr">
        <is>
          <t>77204701933866</t>
        </is>
      </c>
      <c r="C487" t="inlineStr">
        <is>
          <t>Bebida Frutado de Aloe Vera Baolisu Lata</t>
        </is>
      </c>
      <c r="D487" t="inlineStr">
        <is>
          <t>Alimentos y Bebidas Importadas</t>
        </is>
      </c>
      <c r="E487" t="inlineStr">
        <is>
          <t>Bebidas Asiáticas</t>
        </is>
      </c>
      <c r="F487" t="inlineStr">
        <is>
          <t>Aloe Vera</t>
        </is>
      </c>
      <c r="G487" s="8" t="n">
        <v>265.2</v>
      </c>
      <c r="H487" s="9" t="n">
        <v>68</v>
      </c>
      <c r="I487" t="n">
        <v>64</v>
      </c>
      <c r="J487" s="10" t="n">
        <v>46170</v>
      </c>
      <c r="K487" s="8" t="n">
        <v>3.9</v>
      </c>
      <c r="L487" s="6" t="inlineStr"/>
      <c r="M487" s="7">
        <f>IF(L487&gt;0,(K487-L487)/K487*100,"")</f>
        <v/>
      </c>
    </row>
    <row r="488">
      <c r="A488" s="2" t="n">
        <v>487</v>
      </c>
      <c r="B488" s="2" t="inlineStr">
        <is>
          <t>77204702094042</t>
        </is>
      </c>
      <c r="C488" s="2" t="inlineStr">
        <is>
          <t>Pastel de Chocolate Choco Pie Daliyuan 5</t>
        </is>
      </c>
      <c r="D488" s="2" t="inlineStr">
        <is>
          <t>Alimentos y Bebidas Importadas</t>
        </is>
      </c>
      <c r="E488" s="2" t="inlineStr">
        <is>
          <t>Snacks y Dulces Asiáticos</t>
        </is>
      </c>
      <c r="F488" s="2" t="inlineStr">
        <is>
          <t>Chocolates y Pasteles</t>
        </is>
      </c>
      <c r="G488" s="3" t="n">
        <v>262.9</v>
      </c>
      <c r="H488" s="4" t="n">
        <v>11</v>
      </c>
      <c r="I488" s="2" t="n">
        <v>11</v>
      </c>
      <c r="J488" s="5" t="n">
        <v>46116</v>
      </c>
      <c r="K488" s="3" t="n">
        <v>23.9</v>
      </c>
      <c r="L488" s="6" t="inlineStr"/>
      <c r="M488" s="7">
        <f>IF(L488&gt;0,(K488-L488)/K488*100,"")</f>
        <v/>
      </c>
    </row>
    <row r="489">
      <c r="A489" t="n">
        <v>488</v>
      </c>
      <c r="B489" t="inlineStr">
        <is>
          <t>77410656638840</t>
        </is>
      </c>
      <c r="C489" t="inlineStr">
        <is>
          <t>Galleta Costa Nik Fiesta Surtido 20x13.5Gr. (PQTX8)</t>
        </is>
      </c>
      <c r="D489" t="inlineStr">
        <is>
          <t>Abarrotes</t>
        </is>
      </c>
      <c r="E489" t="inlineStr">
        <is>
          <t>Dulces y Chocolates</t>
        </is>
      </c>
      <c r="F489" t="inlineStr">
        <is>
          <t>Galletas</t>
        </is>
      </c>
      <c r="G489" s="8" t="n">
        <v>261.6</v>
      </c>
      <c r="H489" s="9" t="n">
        <v>24</v>
      </c>
      <c r="I489" t="n">
        <v>22</v>
      </c>
      <c r="J489" s="10" t="n">
        <v>46150</v>
      </c>
      <c r="K489" s="8" t="n">
        <v>10.9</v>
      </c>
      <c r="L489" s="6" t="inlineStr"/>
      <c r="M489" s="7">
        <f>IF(L489&gt;0,(K489-L489)/K489*100,"")</f>
        <v/>
      </c>
    </row>
    <row r="490">
      <c r="A490" s="2" t="n">
        <v>489</v>
      </c>
      <c r="B490" s="2" t="inlineStr">
        <is>
          <t>2000740008</t>
        </is>
      </c>
      <c r="C490" s="2" t="inlineStr">
        <is>
          <t>COMPÁS ESCOLAR LAYCONSA PLÁSTICO CON LÁPIZ</t>
        </is>
      </c>
      <c r="D490" s="2" t="inlineStr">
        <is>
          <t>Librería y Oficina</t>
        </is>
      </c>
      <c r="E490" s="2" t="inlineStr">
        <is>
          <t>Útiles Escolares</t>
        </is>
      </c>
      <c r="F490" s="2" t="inlineStr">
        <is>
          <t>Estuches Geométricos</t>
        </is>
      </c>
      <c r="G490" s="3" t="n">
        <v>260.7</v>
      </c>
      <c r="H490" s="4" t="n">
        <v>121</v>
      </c>
      <c r="I490" s="2" t="n">
        <v>89</v>
      </c>
      <c r="J490" s="5" t="n">
        <v>46097</v>
      </c>
      <c r="K490" s="3" t="n">
        <v>2.19</v>
      </c>
      <c r="L490" s="6" t="inlineStr"/>
      <c r="M490" s="7">
        <f>IF(L490&gt;0,(K490-L490)/K490*100,"")</f>
        <v/>
      </c>
    </row>
    <row r="491">
      <c r="A491" t="n">
        <v>490</v>
      </c>
      <c r="B491" t="inlineStr">
        <is>
          <t>805436</t>
        </is>
      </c>
      <c r="C491" t="inlineStr">
        <is>
          <t>26 SCOOL KOMBAT SET MALETA MED EVA 3D JURASSIC</t>
        </is>
      </c>
      <c r="D491" t="inlineStr">
        <is>
          <t>Librería y Oficina</t>
        </is>
      </c>
      <c r="E491" t="inlineStr">
        <is>
          <t>Mochilas y Cartucheras</t>
        </is>
      </c>
      <c r="F491" t="inlineStr">
        <is>
          <t>Mochilas Escolares</t>
        </is>
      </c>
      <c r="G491" s="8" t="n">
        <v>259.8</v>
      </c>
      <c r="H491" s="9" t="n">
        <v>2</v>
      </c>
      <c r="I491" t="n">
        <v>2</v>
      </c>
      <c r="J491" s="10" t="n">
        <v>46090</v>
      </c>
      <c r="K491" s="8" t="n">
        <v>129.9</v>
      </c>
      <c r="L491" s="6" t="inlineStr"/>
      <c r="M491" s="7">
        <f>IF(L491&gt;0,(K491-L491)/K491*100,"")</f>
        <v/>
      </c>
    </row>
    <row r="492">
      <c r="A492" s="2" t="n">
        <v>491</v>
      </c>
      <c r="B492" s="2" t="inlineStr">
        <is>
          <t>MER-2407</t>
        </is>
      </c>
      <c r="C492" s="2" t="inlineStr">
        <is>
          <t>Set Escuadra Acrílica 5 piezas</t>
        </is>
      </c>
      <c r="D492" s="2" t="inlineStr">
        <is>
          <t>Librería y Oficina</t>
        </is>
      </c>
      <c r="E492" s="2" t="inlineStr">
        <is>
          <t>Útiles Escolares</t>
        </is>
      </c>
      <c r="F492" s="2" t="inlineStr">
        <is>
          <t>Tijeras y Reglas</t>
        </is>
      </c>
      <c r="G492" s="3" t="n">
        <v>258.94</v>
      </c>
      <c r="H492" s="4" t="n">
        <v>120</v>
      </c>
      <c r="I492" s="2" t="n">
        <v>89</v>
      </c>
      <c r="J492" s="5" t="n">
        <v>46103</v>
      </c>
      <c r="K492" s="3" t="n">
        <v>2.19</v>
      </c>
      <c r="L492" s="6" t="inlineStr"/>
      <c r="M492" s="7">
        <f>IF(L492&gt;0,(K492-L492)/K492*100,"")</f>
        <v/>
      </c>
    </row>
    <row r="493">
      <c r="A493" t="n">
        <v>492</v>
      </c>
      <c r="B493" t="inlineStr">
        <is>
          <t>804761</t>
        </is>
      </c>
      <c r="C493" t="inlineStr">
        <is>
          <t>25 SCOOL RANGER SET MOCH OFICIO 2 BOL EVA 3D FREE FIRE</t>
        </is>
      </c>
      <c r="D493" t="inlineStr">
        <is>
          <t>Librería y Oficina</t>
        </is>
      </c>
      <c r="E493" t="inlineStr">
        <is>
          <t>Mochilas y Cartucheras</t>
        </is>
      </c>
      <c r="F493" t="inlineStr">
        <is>
          <t>Mochilas Escolares</t>
        </is>
      </c>
      <c r="G493" s="8" t="n">
        <v>258.4</v>
      </c>
      <c r="H493" s="9" t="n">
        <v>3</v>
      </c>
      <c r="I493" t="n">
        <v>3</v>
      </c>
      <c r="J493" s="10" t="n">
        <v>46096</v>
      </c>
      <c r="K493" s="8" t="n">
        <v>86.13</v>
      </c>
      <c r="L493" s="6" t="inlineStr"/>
      <c r="M493" s="7">
        <f>IF(L493&gt;0,(K493-L493)/K493*100,"")</f>
        <v/>
      </c>
    </row>
    <row r="494">
      <c r="A494" s="2" t="n">
        <v>493</v>
      </c>
      <c r="B494" s="2" t="inlineStr">
        <is>
          <t>21505</t>
        </is>
      </c>
      <c r="C494" s="2" t="inlineStr">
        <is>
          <t>AQUA COCO JABÓN EN BARRA CORPORAL ANTIBACTERIAL 75G</t>
        </is>
      </c>
      <c r="D494" s="2" t="inlineStr">
        <is>
          <t>Cuidado Personal y Salud</t>
        </is>
      </c>
      <c r="E494" s="2" t="inlineStr">
        <is>
          <t>Higiene Personal</t>
        </is>
      </c>
      <c r="F494" s="2" t="inlineStr">
        <is>
          <t>Jabones Corporales</t>
        </is>
      </c>
      <c r="G494" s="3" t="n">
        <v>255.6</v>
      </c>
      <c r="H494" s="4" t="n">
        <v>213</v>
      </c>
      <c r="I494" s="2" t="n">
        <v>170</v>
      </c>
      <c r="J494" s="5" t="n">
        <v>46178</v>
      </c>
      <c r="K494" s="3" t="n">
        <v>1.2</v>
      </c>
      <c r="L494" s="6" t="inlineStr"/>
      <c r="M494" s="7">
        <f>IF(L494&gt;0,(K494-L494)/K494*100,"")</f>
        <v/>
      </c>
    </row>
    <row r="495">
      <c r="A495" t="n">
        <v>494</v>
      </c>
      <c r="B495" t="inlineStr">
        <is>
          <t>75961067441467</t>
        </is>
      </c>
      <c r="C495" t="inlineStr">
        <is>
          <t>Big Ben Snacks Caramelo Blanco 55Gr</t>
        </is>
      </c>
      <c r="D495" t="inlineStr">
        <is>
          <t>Abarrotes</t>
        </is>
      </c>
      <c r="E495" t="inlineStr">
        <is>
          <t>Dulces y Chocolates</t>
        </is>
      </c>
      <c r="F495" t="inlineStr">
        <is>
          <t>Caramelos</t>
        </is>
      </c>
      <c r="G495" s="8" t="n">
        <v>255</v>
      </c>
      <c r="H495" s="9" t="n">
        <v>102</v>
      </c>
      <c r="I495" t="n">
        <v>100</v>
      </c>
      <c r="J495" s="10" t="n">
        <v>46177</v>
      </c>
      <c r="K495" s="8" t="n">
        <v>2.5</v>
      </c>
      <c r="L495" s="6" t="inlineStr"/>
      <c r="M495" s="7">
        <f>IF(L495&gt;0,(K495-L495)/K495*100,"")</f>
        <v/>
      </c>
    </row>
    <row r="496">
      <c r="A496" s="2" t="n">
        <v>495</v>
      </c>
      <c r="B496" s="2" t="inlineStr">
        <is>
          <t>360213</t>
        </is>
      </c>
      <c r="C496" s="2" t="inlineStr">
        <is>
          <t>ME TOO BUSTER EDT 50ML</t>
        </is>
      </c>
      <c r="D496" s="2" t="inlineStr">
        <is>
          <t>Belleza</t>
        </is>
      </c>
      <c r="E496" s="2" t="inlineStr">
        <is>
          <t>Perfumes y Fragancias</t>
        </is>
      </c>
      <c r="F496" s="2" t="inlineStr">
        <is>
          <t>Perfumes para Hombre</t>
        </is>
      </c>
      <c r="G496" s="3" t="n">
        <v>254.1</v>
      </c>
      <c r="H496" s="4" t="n">
        <v>15</v>
      </c>
      <c r="I496" s="2" t="n">
        <v>15</v>
      </c>
      <c r="J496" s="5" t="n">
        <v>46172</v>
      </c>
      <c r="K496" s="3" t="n">
        <v>16.94</v>
      </c>
      <c r="L496" s="6" t="inlineStr"/>
      <c r="M496" s="7">
        <f>IF(L496&gt;0,(K496-L496)/K496*100,"")</f>
        <v/>
      </c>
    </row>
    <row r="497">
      <c r="A497" t="n">
        <v>496</v>
      </c>
      <c r="B497" t="inlineStr">
        <is>
          <t>JB-SPR</t>
        </is>
      </c>
      <c r="C497" t="inlineStr">
        <is>
          <t>Jabón en barra Spa Radiante 115Gr. (PQTX72)</t>
        </is>
      </c>
      <c r="D497" t="inlineStr">
        <is>
          <t>Belleza</t>
        </is>
      </c>
      <c r="E497" t="inlineStr">
        <is>
          <t>Cuidado de la Piel Corporal</t>
        </is>
      </c>
      <c r="F497" t="inlineStr">
        <is>
          <t>Jabones Faciales</t>
        </is>
      </c>
      <c r="G497" s="8" t="n">
        <v>252</v>
      </c>
      <c r="H497" s="9" t="n">
        <v>72</v>
      </c>
      <c r="I497" t="n">
        <v>61</v>
      </c>
      <c r="J497" s="10" t="n">
        <v>46161</v>
      </c>
      <c r="K497" s="8" t="n">
        <v>3.5</v>
      </c>
      <c r="L497" s="6" t="inlineStr"/>
      <c r="M497" s="7">
        <f>IF(L497&gt;0,(K497-L497)/K497*100,"")</f>
        <v/>
      </c>
    </row>
    <row r="498">
      <c r="A498" s="2" t="n">
        <v>497</v>
      </c>
      <c r="B498" s="2" t="inlineStr">
        <is>
          <t>MS-2274</t>
        </is>
      </c>
      <c r="C498" s="2" t="inlineStr">
        <is>
          <t>TOMATODO NIÑOS CON CORRERA 1L</t>
        </is>
      </c>
      <c r="D498" s="2" t="inlineStr">
        <is>
          <t>Hogar y Decoración</t>
        </is>
      </c>
      <c r="E498" s="2" t="inlineStr">
        <is>
          <t>Menaje de Cocina</t>
        </is>
      </c>
      <c r="F498" s="2" t="inlineStr">
        <is>
          <t>Tomatodos y Botellas</t>
        </is>
      </c>
      <c r="G498" s="3" t="n">
        <v>250.7</v>
      </c>
      <c r="H498" s="4" t="n">
        <v>23</v>
      </c>
      <c r="I498" s="2" t="n">
        <v>21</v>
      </c>
      <c r="J498" s="5" t="n">
        <v>46096</v>
      </c>
      <c r="K498" s="3" t="n">
        <v>10.9</v>
      </c>
      <c r="L498" s="6" t="inlineStr"/>
      <c r="M498" s="7">
        <f>IF(L498&gt;0,(K498-L498)/K498*100,"")</f>
        <v/>
      </c>
    </row>
    <row r="499">
      <c r="A499" t="n">
        <v>498</v>
      </c>
      <c r="B499" t="inlineStr">
        <is>
          <t>703630</t>
        </is>
      </c>
      <c r="C499" t="inlineStr">
        <is>
          <t>24 SCOOL INV BOT PP 590ML C/CAÑA PAW PATROL M</t>
        </is>
      </c>
      <c r="D499" t="inlineStr">
        <is>
          <t>Librería y Oficina</t>
        </is>
      </c>
      <c r="E499" t="inlineStr">
        <is>
          <t>Loncheras y Taperes Escolares</t>
        </is>
      </c>
      <c r="F499" t="inlineStr">
        <is>
          <t>Botellas Escolares</t>
        </is>
      </c>
      <c r="G499" s="8" t="n">
        <v>249.9</v>
      </c>
      <c r="H499" s="9" t="n">
        <v>21</v>
      </c>
      <c r="I499" t="n">
        <v>20</v>
      </c>
      <c r="J499" s="10" t="n">
        <v>46103</v>
      </c>
      <c r="K499" s="8" t="n">
        <v>11.9</v>
      </c>
      <c r="L499" s="6" t="inlineStr"/>
      <c r="M499" s="7">
        <f>IF(L499&gt;0,(K499-L499)/K499*100,"")</f>
        <v/>
      </c>
    </row>
    <row r="500">
      <c r="A500" s="2" t="n">
        <v>499</v>
      </c>
      <c r="B500" s="2" t="inlineStr">
        <is>
          <t>77358490642880</t>
        </is>
      </c>
      <c r="C500" s="2" t="inlineStr">
        <is>
          <t>CUADERNO DE LUXE COLLEGE BAKAN A4 80H RAYADO</t>
        </is>
      </c>
      <c r="D500" s="2" t="inlineStr">
        <is>
          <t>Librería y Oficina</t>
        </is>
      </c>
      <c r="E500" s="2" t="inlineStr">
        <is>
          <t>Útiles Escolares</t>
        </is>
      </c>
      <c r="F500" s="2" t="inlineStr">
        <is>
          <t>Cuadernos y Blocks</t>
        </is>
      </c>
      <c r="G500" s="3" t="n">
        <v>249.9</v>
      </c>
      <c r="H500" s="4" t="n">
        <v>51</v>
      </c>
      <c r="I500" s="2" t="n">
        <v>31</v>
      </c>
      <c r="J500" s="5" t="n">
        <v>46102</v>
      </c>
      <c r="K500" s="3" t="n">
        <v>4.9</v>
      </c>
      <c r="L500" s="6" t="inlineStr"/>
      <c r="M500" s="7">
        <f>IF(L500&gt;0,(K500-L500)/K500*100,"")</f>
        <v/>
      </c>
    </row>
    <row r="501">
      <c r="A501" t="n">
        <v>500</v>
      </c>
      <c r="B501" t="inlineStr">
        <is>
          <t>704006</t>
        </is>
      </c>
      <c r="C501" t="inlineStr">
        <is>
          <t>25 SCOOL BOT PP 590ML C/CAÑA MY MELODY</t>
        </is>
      </c>
      <c r="D501" t="inlineStr">
        <is>
          <t>Librería y Oficina</t>
        </is>
      </c>
      <c r="E501" t="inlineStr">
        <is>
          <t>Loncheras y Taperes Escolares</t>
        </is>
      </c>
      <c r="F501" t="inlineStr">
        <is>
          <t>Botellas Escolares</t>
        </is>
      </c>
      <c r="G501" s="8" t="n">
        <v>248.71</v>
      </c>
      <c r="H501" s="9" t="n">
        <v>21</v>
      </c>
      <c r="I501" t="n">
        <v>21</v>
      </c>
      <c r="J501" s="10" t="n">
        <v>46131</v>
      </c>
      <c r="K501" s="8" t="n">
        <v>11.84</v>
      </c>
      <c r="L501" s="6" t="inlineStr"/>
      <c r="M501" s="7">
        <f>IF(L501&gt;0,(K501-L501)/K501*100,"")</f>
        <v/>
      </c>
    </row>
    <row r="502">
      <c r="A502" s="2" t="n">
        <v>501</v>
      </c>
      <c r="B502" s="2" t="inlineStr">
        <is>
          <t>AGL-20</t>
        </is>
      </c>
      <c r="C502" s="2" t="inlineStr">
        <is>
          <t>LABIAL BESAME 2 EN 1</t>
        </is>
      </c>
      <c r="D502" s="2" t="inlineStr">
        <is>
          <t>Belleza</t>
        </is>
      </c>
      <c r="E502" s="2" t="inlineStr">
        <is>
          <t>Maquillaje y Cosméticos</t>
        </is>
      </c>
      <c r="F502" s="2" t="inlineStr">
        <is>
          <t>Labial</t>
        </is>
      </c>
      <c r="G502" s="3" t="n">
        <v>247.71</v>
      </c>
      <c r="H502" s="4" t="n">
        <v>36</v>
      </c>
      <c r="I502" s="2" t="n">
        <v>36</v>
      </c>
      <c r="J502" s="5" t="n">
        <v>46151</v>
      </c>
      <c r="K502" s="3" t="n">
        <v>6.88</v>
      </c>
      <c r="L502" s="6" t="inlineStr"/>
      <c r="M502" s="7">
        <f>IF(L502&gt;0,(K502-L502)/K502*100,"")</f>
        <v/>
      </c>
    </row>
    <row r="503">
      <c r="A503" t="n">
        <v>502</v>
      </c>
      <c r="B503" t="inlineStr">
        <is>
          <t>AGB-30</t>
        </is>
      </c>
      <c r="C503" t="inlineStr">
        <is>
          <t>BASE BB CREAM SHINE</t>
        </is>
      </c>
      <c r="D503" t="inlineStr">
        <is>
          <t>Belleza</t>
        </is>
      </c>
      <c r="E503" t="inlineStr">
        <is>
          <t>Maquillaje y Cosméticos</t>
        </is>
      </c>
      <c r="F503" t="inlineStr">
        <is>
          <t>Base y Correctores</t>
        </is>
      </c>
      <c r="G503" s="8" t="n">
        <v>247</v>
      </c>
      <c r="H503" s="9" t="n">
        <v>19</v>
      </c>
      <c r="I503" t="n">
        <v>17</v>
      </c>
      <c r="J503" s="10" t="n">
        <v>46119</v>
      </c>
      <c r="K503" s="8" t="n">
        <v>13</v>
      </c>
      <c r="L503" s="6" t="inlineStr"/>
      <c r="M503" s="7">
        <f>IF(L503&gt;0,(K503-L503)/K503*100,"")</f>
        <v/>
      </c>
    </row>
    <row r="504">
      <c r="A504" s="2" t="n">
        <v>503</v>
      </c>
      <c r="B504" s="2" t="inlineStr">
        <is>
          <t>75866770090277</t>
        </is>
      </c>
      <c r="C504" s="2" t="inlineStr">
        <is>
          <t>FIDEOS SABOR CARNE SAUERKRAUT</t>
        </is>
      </c>
      <c r="D504" s="2" t="inlineStr">
        <is>
          <t>Alimentos y Bebidas Importadas</t>
        </is>
      </c>
      <c r="E504" s="2" t="inlineStr">
        <is>
          <t>Sopas y Fideos Instantáneos</t>
        </is>
      </c>
      <c r="F504" s="2" t="inlineStr">
        <is>
          <t>Fideos de Trigo (Ramen)</t>
        </is>
      </c>
      <c r="G504" s="3" t="n">
        <v>246.5</v>
      </c>
      <c r="H504" s="4" t="n">
        <v>29</v>
      </c>
      <c r="I504" s="2" t="n">
        <v>29</v>
      </c>
      <c r="J504" s="5" t="n">
        <v>46178</v>
      </c>
      <c r="K504" s="3" t="n">
        <v>8.5</v>
      </c>
      <c r="L504" s="6" t="inlineStr"/>
      <c r="M504" s="7">
        <f>IF(L504&gt;0,(K504-L504)/K504*100,"")</f>
        <v/>
      </c>
    </row>
    <row r="505">
      <c r="A505" t="n">
        <v>504</v>
      </c>
      <c r="B505" t="inlineStr">
        <is>
          <t>75755617632305</t>
        </is>
      </c>
      <c r="C505" t="inlineStr">
        <is>
          <t>Fideos S/Pollo Guisado C/Champ 98GR CA</t>
        </is>
      </c>
      <c r="D505" t="inlineStr">
        <is>
          <t>Alimentos y Bebidas Importadas</t>
        </is>
      </c>
      <c r="E505" t="inlineStr">
        <is>
          <t>Sopas y Fideos Instantáneos</t>
        </is>
      </c>
      <c r="F505" t="inlineStr">
        <is>
          <t>Fideos de Trigo (Ramen)</t>
        </is>
      </c>
      <c r="G505" s="8" t="n">
        <v>246.5</v>
      </c>
      <c r="H505" s="9" t="n">
        <v>29</v>
      </c>
      <c r="I505" t="n">
        <v>27</v>
      </c>
      <c r="J505" s="10" t="n">
        <v>46146</v>
      </c>
      <c r="K505" s="8" t="n">
        <v>8.5</v>
      </c>
      <c r="L505" s="6" t="inlineStr"/>
      <c r="M505" s="7">
        <f>IF(L505&gt;0,(K505-L505)/K505*100,"")</f>
        <v/>
      </c>
    </row>
    <row r="506">
      <c r="A506" s="2" t="n">
        <v>505</v>
      </c>
      <c r="B506" s="2" t="inlineStr">
        <is>
          <t>A298</t>
        </is>
      </c>
      <c r="C506" s="2" t="inlineStr">
        <is>
          <t>JGT CARTERA Y ZAPATO</t>
        </is>
      </c>
      <c r="D506" s="2" t="inlineStr">
        <is>
          <t>Juguetes y Juegos</t>
        </is>
      </c>
      <c r="E506" s="2" t="inlineStr">
        <is>
          <t>Juguetes</t>
        </is>
      </c>
      <c r="F506" s="2" t="inlineStr">
        <is>
          <t>Juguetes Variados</t>
        </is>
      </c>
      <c r="G506" s="3" t="n">
        <v>246.5</v>
      </c>
      <c r="H506" s="4" t="n">
        <v>17</v>
      </c>
      <c r="I506" s="2" t="n">
        <v>17</v>
      </c>
      <c r="J506" s="5" t="n">
        <v>46175</v>
      </c>
      <c r="K506" s="3" t="n">
        <v>14.5</v>
      </c>
      <c r="L506" s="6" t="inlineStr"/>
      <c r="M506" s="7">
        <f>IF(L506&gt;0,(K506-L506)/K506*100,"")</f>
        <v/>
      </c>
    </row>
    <row r="507">
      <c r="A507" t="n">
        <v>506</v>
      </c>
      <c r="B507" t="inlineStr">
        <is>
          <t>21503</t>
        </is>
      </c>
      <c r="C507" t="inlineStr">
        <is>
          <t>AQUA ALOE JABÓN EN BARRA CORPORAL ANTIBACTERIAL 75G</t>
        </is>
      </c>
      <c r="D507" t="inlineStr">
        <is>
          <t>Cuidado Personal y Salud</t>
        </is>
      </c>
      <c r="E507" t="inlineStr">
        <is>
          <t>Higiene Personal</t>
        </is>
      </c>
      <c r="F507" t="inlineStr">
        <is>
          <t>Jabones Corporales</t>
        </is>
      </c>
      <c r="G507" s="8" t="n">
        <v>246</v>
      </c>
      <c r="H507" s="9" t="n">
        <v>205</v>
      </c>
      <c r="I507" t="n">
        <v>150</v>
      </c>
      <c r="J507" s="10" t="n">
        <v>46178</v>
      </c>
      <c r="K507" s="8" t="n">
        <v>1.2</v>
      </c>
      <c r="L507" s="6" t="inlineStr"/>
      <c r="M507" s="7">
        <f>IF(L507&gt;0,(K507-L507)/K507*100,"")</f>
        <v/>
      </c>
    </row>
    <row r="508">
      <c r="A508" s="2" t="n">
        <v>507</v>
      </c>
      <c r="B508" s="2" t="inlineStr">
        <is>
          <t>270826</t>
        </is>
      </c>
      <c r="C508" s="2" t="inlineStr">
        <is>
          <t>SKY SWEET BODY SPRAY 150ML</t>
        </is>
      </c>
      <c r="D508" s="2" t="inlineStr">
        <is>
          <t>Belleza</t>
        </is>
      </c>
      <c r="E508" s="2" t="inlineStr">
        <is>
          <t>Perfumes y Fragancias</t>
        </is>
      </c>
      <c r="F508" s="2" t="inlineStr">
        <is>
          <t>Splashes y Colonias Corporales</t>
        </is>
      </c>
      <c r="G508" s="3" t="n">
        <v>244.4</v>
      </c>
      <c r="H508" s="4" t="n">
        <v>28</v>
      </c>
      <c r="I508" s="2" t="n">
        <v>28</v>
      </c>
      <c r="J508" s="5" t="n">
        <v>46178</v>
      </c>
      <c r="K508" s="3" t="n">
        <v>8.73</v>
      </c>
      <c r="L508" s="6" t="inlineStr"/>
      <c r="M508" s="7">
        <f>IF(L508&gt;0,(K508-L508)/K508*100,"")</f>
        <v/>
      </c>
    </row>
    <row r="509">
      <c r="A509" t="n">
        <v>508</v>
      </c>
      <c r="B509" t="inlineStr">
        <is>
          <t>M-ESCOLAR</t>
        </is>
      </c>
      <c r="C509" t="inlineStr">
        <is>
          <t>MICROPOR 50 X 60 AMARILLO ESCOLAR</t>
        </is>
      </c>
      <c r="D509" t="inlineStr">
        <is>
          <t>Librería y Oficina</t>
        </is>
      </c>
      <c r="E509" t="inlineStr">
        <is>
          <t>Útiles Escolares</t>
        </is>
      </c>
      <c r="F509" t="inlineStr">
        <is>
          <t>Micropororsos y Goma Eva</t>
        </is>
      </c>
      <c r="G509" s="8" t="n">
        <v>241.12</v>
      </c>
      <c r="H509" s="9" t="n">
        <v>113</v>
      </c>
      <c r="I509" t="n">
        <v>53</v>
      </c>
      <c r="J509" s="10" t="n">
        <v>46110</v>
      </c>
      <c r="K509" s="8" t="n">
        <v>2.19</v>
      </c>
      <c r="L509" s="6" t="inlineStr"/>
      <c r="M509" s="7">
        <f>IF(L509&gt;0,(K509-L509)/K509*100,"")</f>
        <v/>
      </c>
    </row>
    <row r="510">
      <c r="A510" s="2" t="n">
        <v>509</v>
      </c>
      <c r="B510" s="2" t="inlineStr">
        <is>
          <t>AGL-107</t>
        </is>
      </c>
      <c r="C510" s="2" t="inlineStr">
        <is>
          <t>LABIAL OCEAN VIBES</t>
        </is>
      </c>
      <c r="D510" s="2" t="inlineStr">
        <is>
          <t>Belleza</t>
        </is>
      </c>
      <c r="E510" s="2" t="inlineStr">
        <is>
          <t>Maquillaje y Cosméticos</t>
        </is>
      </c>
      <c r="F510" s="2" t="inlineStr">
        <is>
          <t>Labial</t>
        </is>
      </c>
      <c r="G510" s="3" t="n">
        <v>240.5</v>
      </c>
      <c r="H510" s="4" t="n">
        <v>37</v>
      </c>
      <c r="I510" s="2" t="n">
        <v>37</v>
      </c>
      <c r="J510" s="5" t="n">
        <v>46177</v>
      </c>
      <c r="K510" s="3" t="n">
        <v>6.5</v>
      </c>
      <c r="L510" s="6" t="inlineStr"/>
      <c r="M510" s="7">
        <f>IF(L510&gt;0,(K510-L510)/K510*100,"")</f>
        <v/>
      </c>
    </row>
    <row r="511">
      <c r="A511" t="n">
        <v>510</v>
      </c>
      <c r="B511" t="inlineStr">
        <is>
          <t>75755617841734</t>
        </is>
      </c>
      <c r="C511" t="inlineStr">
        <is>
          <t>Bebida de Aloe Sabor Mango Baolisu 500ml</t>
        </is>
      </c>
      <c r="D511" t="inlineStr">
        <is>
          <t>Alimentos y Bebidas Importadas</t>
        </is>
      </c>
      <c r="E511" t="inlineStr">
        <is>
          <t>Bebidas Asiáticas</t>
        </is>
      </c>
      <c r="F511" t="inlineStr">
        <is>
          <t>Aloe Vera</t>
        </is>
      </c>
      <c r="G511" s="8" t="n">
        <v>240.5</v>
      </c>
      <c r="H511" s="9" t="n">
        <v>37</v>
      </c>
      <c r="I511" t="n">
        <v>36</v>
      </c>
      <c r="J511" s="10" t="n">
        <v>46168</v>
      </c>
      <c r="K511" s="8" t="n">
        <v>6.5</v>
      </c>
      <c r="L511" s="6" t="inlineStr"/>
      <c r="M511" s="7">
        <f>IF(L511&gt;0,(K511-L511)/K511*100,"")</f>
        <v/>
      </c>
    </row>
    <row r="512">
      <c r="A512" s="2" t="n">
        <v>511</v>
      </c>
      <c r="B512" s="2" t="inlineStr">
        <is>
          <t>270828</t>
        </is>
      </c>
      <c r="C512" s="2" t="inlineStr">
        <is>
          <t>SKY NIGHT BODY SPRAY 150ML</t>
        </is>
      </c>
      <c r="D512" s="2" t="inlineStr">
        <is>
          <t>Belleza</t>
        </is>
      </c>
      <c r="E512" s="2" t="inlineStr">
        <is>
          <t>Perfumes y Fragancias</t>
        </is>
      </c>
      <c r="F512" s="2" t="inlineStr">
        <is>
          <t>Splashes y Colonias Corporales</t>
        </is>
      </c>
      <c r="G512" s="3" t="n">
        <v>240.3</v>
      </c>
      <c r="H512" s="4" t="n">
        <v>27</v>
      </c>
      <c r="I512" s="2" t="n">
        <v>27</v>
      </c>
      <c r="J512" s="5" t="n">
        <v>46178</v>
      </c>
      <c r="K512" s="3" t="n">
        <v>8.9</v>
      </c>
      <c r="L512" s="6" t="inlineStr"/>
      <c r="M512" s="7">
        <f>IF(L512&gt;0,(K512-L512)/K512*100,"")</f>
        <v/>
      </c>
    </row>
    <row r="513">
      <c r="A513" t="n">
        <v>512</v>
      </c>
      <c r="B513" t="inlineStr">
        <is>
          <t>77204702084227</t>
        </is>
      </c>
      <c r="C513" t="inlineStr">
        <is>
          <t>BEBIDA DE ZUMO S/MARACUYA 480ML CJ * 1</t>
        </is>
      </c>
      <c r="D513" t="inlineStr">
        <is>
          <t>Alimentos y Bebidas Importadas</t>
        </is>
      </c>
      <c r="E513" t="inlineStr">
        <is>
          <t>Bebidas Asiáticas</t>
        </is>
      </c>
      <c r="F513" t="inlineStr">
        <is>
          <t>Jugo y Nata de Coco</t>
        </is>
      </c>
      <c r="G513" s="8" t="n">
        <v>239.54</v>
      </c>
      <c r="H513" s="9" t="n">
        <v>41</v>
      </c>
      <c r="I513" t="n">
        <v>37</v>
      </c>
      <c r="J513" s="10" t="n">
        <v>46178</v>
      </c>
      <c r="K513" s="8" t="n">
        <v>5.88</v>
      </c>
      <c r="L513" s="6" t="inlineStr"/>
      <c r="M513" s="7">
        <f>IF(L513&gt;0,(K513-L513)/K513*100,"")</f>
        <v/>
      </c>
    </row>
    <row r="514">
      <c r="A514" s="2" t="n">
        <v>513</v>
      </c>
      <c r="B514" s="2" t="inlineStr">
        <is>
          <t>75961067318238</t>
        </is>
      </c>
      <c r="C514" s="2" t="inlineStr">
        <is>
          <t>Galleta Costa D Chips Fiesta 6x34Gr</t>
        </is>
      </c>
      <c r="D514" s="2" t="inlineStr">
        <is>
          <t>Abarrotes</t>
        </is>
      </c>
      <c r="E514" s="2" t="inlineStr">
        <is>
          <t>Dulces y Chocolates</t>
        </is>
      </c>
      <c r="F514" s="2" t="inlineStr">
        <is>
          <t>Galletas</t>
        </is>
      </c>
      <c r="G514" s="3" t="n">
        <v>239.2</v>
      </c>
      <c r="H514" s="4" t="n">
        <v>46</v>
      </c>
      <c r="I514" s="2" t="n">
        <v>45</v>
      </c>
      <c r="J514" s="5" t="n">
        <v>46148</v>
      </c>
      <c r="K514" s="3" t="n">
        <v>5.2</v>
      </c>
      <c r="L514" s="6" t="inlineStr"/>
      <c r="M514" s="7">
        <f>IF(L514&gt;0,(K514-L514)/K514*100,"")</f>
        <v/>
      </c>
    </row>
    <row r="515">
      <c r="A515" t="n">
        <v>514</v>
      </c>
      <c r="B515" t="inlineStr">
        <is>
          <t>MH52-91</t>
        </is>
      </c>
      <c r="C515" t="inlineStr">
        <is>
          <t>PLATO</t>
        </is>
      </c>
      <c r="D515" t="inlineStr">
        <is>
          <t>Hogar y Decoración</t>
        </is>
      </c>
      <c r="E515" t="inlineStr">
        <is>
          <t>Menaje de Comedor</t>
        </is>
      </c>
      <c r="F515" t="inlineStr">
        <is>
          <t>Platos y Fuentes</t>
        </is>
      </c>
      <c r="G515" s="8" t="n">
        <v>239</v>
      </c>
      <c r="H515" s="9" t="n">
        <v>62</v>
      </c>
      <c r="I515" t="n">
        <v>7</v>
      </c>
      <c r="J515" s="10" t="n">
        <v>46114</v>
      </c>
      <c r="K515" s="8" t="n">
        <v>3.89</v>
      </c>
      <c r="L515" s="6" t="inlineStr"/>
      <c r="M515" s="7">
        <f>IF(L515&gt;0,(K515-L515)/K515*100,"")</f>
        <v/>
      </c>
    </row>
    <row r="516">
      <c r="A516" s="2" t="n">
        <v>515</v>
      </c>
      <c r="B516" s="2" t="inlineStr">
        <is>
          <t>R2-096</t>
        </is>
      </c>
      <c r="C516" s="2" t="inlineStr">
        <is>
          <t>LAPICERO MULTICOLOR</t>
        </is>
      </c>
      <c r="D516" s="2" t="inlineStr">
        <is>
          <t>Librería y Oficina</t>
        </is>
      </c>
      <c r="E516" s="2" t="inlineStr">
        <is>
          <t>Útiles Escolares</t>
        </is>
      </c>
      <c r="F516" s="2" t="inlineStr">
        <is>
          <t>Lápices y Lapiceros</t>
        </is>
      </c>
      <c r="G516" s="3" t="n">
        <v>237.6</v>
      </c>
      <c r="H516" s="4" t="n">
        <v>125</v>
      </c>
      <c r="I516" s="2" t="n">
        <v>61</v>
      </c>
      <c r="J516" s="5" t="n">
        <v>46102</v>
      </c>
      <c r="K516" s="3" t="n">
        <v>1.97</v>
      </c>
      <c r="L516" s="6" t="inlineStr"/>
      <c r="M516" s="7">
        <f>IF(L516&gt;0,(K516-L516)/K516*100,"")</f>
        <v/>
      </c>
    </row>
    <row r="517">
      <c r="A517" t="n">
        <v>516</v>
      </c>
      <c r="B517" t="inlineStr">
        <is>
          <t>360201</t>
        </is>
      </c>
      <c r="C517" t="inlineStr">
        <is>
          <t>ME TOO CHERIE EDT 50ML</t>
        </is>
      </c>
      <c r="D517" t="inlineStr">
        <is>
          <t>Belleza</t>
        </is>
      </c>
      <c r="E517" t="inlineStr">
        <is>
          <t>Perfumes y Fragancias</t>
        </is>
      </c>
      <c r="F517" t="inlineStr">
        <is>
          <t>Perfumes para Hombre</t>
        </is>
      </c>
      <c r="G517" s="8" t="n">
        <v>237.2</v>
      </c>
      <c r="H517" s="9" t="n">
        <v>14</v>
      </c>
      <c r="I517" t="n">
        <v>14</v>
      </c>
      <c r="J517" s="10" t="n">
        <v>46173</v>
      </c>
      <c r="K517" s="8" t="n">
        <v>16.94</v>
      </c>
      <c r="L517" s="6" t="inlineStr"/>
      <c r="M517" s="7">
        <f>IF(L517&gt;0,(K517-L517)/K517*100,"")</f>
        <v/>
      </c>
    </row>
    <row r="518">
      <c r="A518" s="2" t="n">
        <v>517</v>
      </c>
      <c r="B518" s="2" t="inlineStr">
        <is>
          <t>704012</t>
        </is>
      </c>
      <c r="C518" s="2" t="inlineStr">
        <is>
          <t>25 SCOOL BOT PP 590ML C/CAÑA SONIC</t>
        </is>
      </c>
      <c r="D518" s="2" t="inlineStr">
        <is>
          <t>Librería y Oficina</t>
        </is>
      </c>
      <c r="E518" s="2" t="inlineStr">
        <is>
          <t>Loncheras y Taperes Escolares</t>
        </is>
      </c>
      <c r="F518" s="2" t="inlineStr">
        <is>
          <t>Botellas Escolares</t>
        </is>
      </c>
      <c r="G518" s="3" t="n">
        <v>237.05</v>
      </c>
      <c r="H518" s="4" t="n">
        <v>20</v>
      </c>
      <c r="I518" s="2" t="n">
        <v>20</v>
      </c>
      <c r="J518" s="5" t="n">
        <v>46098</v>
      </c>
      <c r="K518" s="3" t="n">
        <v>11.85</v>
      </c>
      <c r="L518" s="6" t="inlineStr"/>
      <c r="M518" s="7">
        <f>IF(L518&gt;0,(K518-L518)/K518*100,"")</f>
        <v/>
      </c>
    </row>
    <row r="519">
      <c r="A519" t="n">
        <v>518</v>
      </c>
      <c r="B519" t="inlineStr">
        <is>
          <t>360209</t>
        </is>
      </c>
      <c r="C519" t="inlineStr">
        <is>
          <t>ME TOO AZZURRO EDT 50ML</t>
        </is>
      </c>
      <c r="D519" t="inlineStr">
        <is>
          <t>Belleza</t>
        </is>
      </c>
      <c r="E519" t="inlineStr">
        <is>
          <t>Perfumes y Fragancias</t>
        </is>
      </c>
      <c r="F519" t="inlineStr">
        <is>
          <t>Perfumes para Hombre</t>
        </is>
      </c>
      <c r="G519" s="8" t="n">
        <v>236.6</v>
      </c>
      <c r="H519" s="9" t="n">
        <v>14</v>
      </c>
      <c r="I519" t="n">
        <v>14</v>
      </c>
      <c r="J519" s="10" t="n">
        <v>46153</v>
      </c>
      <c r="K519" s="8" t="n">
        <v>16.9</v>
      </c>
      <c r="L519" s="6" t="inlineStr"/>
      <c r="M519" s="7">
        <f>IF(L519&gt;0,(K519-L519)/K519*100,"")</f>
        <v/>
      </c>
    </row>
    <row r="520">
      <c r="A520" s="2" t="n">
        <v>519</v>
      </c>
      <c r="B520" s="2" t="inlineStr">
        <is>
          <t>360221</t>
        </is>
      </c>
      <c r="C520" s="2" t="inlineStr">
        <is>
          <t>ME TOO FUROR XS EDT 50ML</t>
        </is>
      </c>
      <c r="D520" s="2" t="inlineStr">
        <is>
          <t>Belleza</t>
        </is>
      </c>
      <c r="E520" s="2" t="inlineStr">
        <is>
          <t>Perfumes y Fragancias</t>
        </is>
      </c>
      <c r="F520" s="2" t="inlineStr">
        <is>
          <t>Perfumes para Hombre</t>
        </is>
      </c>
      <c r="G520" s="3" t="n">
        <v>236.6</v>
      </c>
      <c r="H520" s="4" t="n">
        <v>14</v>
      </c>
      <c r="I520" s="2" t="n">
        <v>14</v>
      </c>
      <c r="J520" s="5" t="n">
        <v>46144</v>
      </c>
      <c r="K520" s="3" t="n">
        <v>16.9</v>
      </c>
      <c r="L520" s="6" t="inlineStr"/>
      <c r="M520" s="7">
        <f>IF(L520&gt;0,(K520-L520)/K520*100,"")</f>
        <v/>
      </c>
    </row>
    <row r="521">
      <c r="A521" t="n">
        <v>520</v>
      </c>
      <c r="B521" t="inlineStr">
        <is>
          <t>8877</t>
        </is>
      </c>
      <c r="C521" t="inlineStr">
        <is>
          <t>JGT SORPRESA KPOP</t>
        </is>
      </c>
      <c r="D521" t="inlineStr">
        <is>
          <t>Juguetes y Juegos</t>
        </is>
      </c>
      <c r="E521" t="inlineStr">
        <is>
          <t>Juguetes</t>
        </is>
      </c>
      <c r="F521" t="inlineStr">
        <is>
          <t>Juguetes Variados</t>
        </is>
      </c>
      <c r="G521" s="8" t="n">
        <v>236</v>
      </c>
      <c r="H521" s="9" t="n">
        <v>40</v>
      </c>
      <c r="I521" t="n">
        <v>38</v>
      </c>
      <c r="J521" s="10" t="n">
        <v>46164</v>
      </c>
      <c r="K521" s="8" t="n">
        <v>5.9</v>
      </c>
      <c r="L521" s="6" t="inlineStr"/>
      <c r="M521" s="7">
        <f>IF(L521&gt;0,(K521-L521)/K521*100,"")</f>
        <v/>
      </c>
    </row>
    <row r="522">
      <c r="A522" s="2" t="n">
        <v>521</v>
      </c>
      <c r="B522" s="2" t="inlineStr">
        <is>
          <t>859</t>
        </is>
      </c>
      <c r="C522" s="2" t="inlineStr">
        <is>
          <t>JGT MUÑECA BB</t>
        </is>
      </c>
      <c r="D522" s="2" t="inlineStr">
        <is>
          <t>Juguetes y Juegos</t>
        </is>
      </c>
      <c r="E522" s="2" t="inlineStr">
        <is>
          <t>Juguetes</t>
        </is>
      </c>
      <c r="F522" s="2" t="inlineStr">
        <is>
          <t>Juguetes Variados</t>
        </is>
      </c>
      <c r="G522" s="3" t="n">
        <v>236</v>
      </c>
      <c r="H522" s="4" t="n">
        <v>8</v>
      </c>
      <c r="I522" s="2" t="n">
        <v>8</v>
      </c>
      <c r="J522" s="5" t="n">
        <v>46173</v>
      </c>
      <c r="K522" s="3" t="n">
        <v>29.5</v>
      </c>
      <c r="L522" s="6" t="inlineStr"/>
      <c r="M522" s="7">
        <f>IF(L522&gt;0,(K522-L522)/K522*100,"")</f>
        <v/>
      </c>
    </row>
    <row r="523">
      <c r="A523" t="n">
        <v>522</v>
      </c>
      <c r="B523" t="inlineStr">
        <is>
          <t>75866770018471</t>
        </is>
      </c>
      <c r="C523" t="inlineStr">
        <is>
          <t>PALITO D/GALL BAÑADO C/CREMA DCHOCO</t>
        </is>
      </c>
      <c r="D523" t="inlineStr">
        <is>
          <t>Alimentos y Bebidas Importadas</t>
        </is>
      </c>
      <c r="E523" t="inlineStr">
        <is>
          <t>Snacks y Dulces Asiáticos</t>
        </is>
      </c>
      <c r="F523" t="inlineStr">
        <is>
          <t>Galletas y Bocaditos Dulces</t>
        </is>
      </c>
      <c r="G523" s="8" t="n">
        <v>236</v>
      </c>
      <c r="H523" s="9" t="n">
        <v>40</v>
      </c>
      <c r="I523" t="n">
        <v>40</v>
      </c>
      <c r="J523" s="10" t="n">
        <v>46178</v>
      </c>
      <c r="K523" s="8" t="n">
        <v>5.9</v>
      </c>
      <c r="L523" s="6" t="inlineStr"/>
      <c r="M523" s="7">
        <f>IF(L523&gt;0,(K523-L523)/K523*100,"")</f>
        <v/>
      </c>
    </row>
    <row r="524">
      <c r="A524" s="2" t="n">
        <v>523</v>
      </c>
      <c r="B524" s="2" t="inlineStr">
        <is>
          <t>ROMA-18CM</t>
        </is>
      </c>
      <c r="C524" s="2" t="inlineStr">
        <is>
          <t>Wafer Costa Nik Chocolate 6x27gr</t>
        </is>
      </c>
      <c r="D524" s="2" t="inlineStr">
        <is>
          <t>Abarrotes</t>
        </is>
      </c>
      <c r="E524" s="2" t="inlineStr">
        <is>
          <t>Dulces y Chocolates</t>
        </is>
      </c>
      <c r="F524" s="2" t="inlineStr">
        <is>
          <t>Galletas</t>
        </is>
      </c>
      <c r="G524" s="3" t="n">
        <v>235.2</v>
      </c>
      <c r="H524" s="4" t="n">
        <v>56</v>
      </c>
      <c r="I524" s="2" t="n">
        <v>51</v>
      </c>
      <c r="J524" s="5" t="n">
        <v>46151</v>
      </c>
      <c r="K524" s="3" t="n">
        <v>4.2</v>
      </c>
      <c r="L524" s="6" t="inlineStr"/>
      <c r="M524" s="7">
        <f>IF(L524&gt;0,(K524-L524)/K524*100,"")</f>
        <v/>
      </c>
    </row>
    <row r="525">
      <c r="A525" t="n">
        <v>524</v>
      </c>
      <c r="B525" t="inlineStr">
        <is>
          <t>TCB-1971</t>
        </is>
      </c>
      <c r="C525" t="inlineStr">
        <is>
          <t>Taza de cerámica</t>
        </is>
      </c>
      <c r="D525" t="inlineStr">
        <is>
          <t>Hogar y Decoración</t>
        </is>
      </c>
      <c r="E525" t="inlineStr">
        <is>
          <t>Menaje de Comedor</t>
        </is>
      </c>
      <c r="F525" t="inlineStr">
        <is>
          <t>Tazas y Mugs</t>
        </is>
      </c>
      <c r="G525" s="8" t="n">
        <v>235.2</v>
      </c>
      <c r="H525" s="9" t="n">
        <v>48</v>
      </c>
      <c r="I525" t="n">
        <v>30</v>
      </c>
      <c r="J525" s="10" t="n">
        <v>46157</v>
      </c>
      <c r="K525" s="8" t="n">
        <v>4.9</v>
      </c>
      <c r="L525" s="6" t="inlineStr"/>
      <c r="M525" s="7">
        <f>IF(L525&gt;0,(K525-L525)/K525*100,"")</f>
        <v/>
      </c>
    </row>
    <row r="526">
      <c r="A526" s="2" t="n">
        <v>525</v>
      </c>
      <c r="B526" s="2" t="inlineStr">
        <is>
          <t>21509</t>
        </is>
      </c>
      <c r="C526" s="2" t="inlineStr">
        <is>
          <t>AQUA PERA Y MANZANA JABÓN EN BARRA ANTIBACTERIAL 75G</t>
        </is>
      </c>
      <c r="D526" s="2" t="inlineStr">
        <is>
          <t>Cuidado Personal y Salud</t>
        </is>
      </c>
      <c r="E526" s="2" t="inlineStr">
        <is>
          <t>Higiene Personal</t>
        </is>
      </c>
      <c r="F526" s="2" t="inlineStr">
        <is>
          <t>Jabones Corporales</t>
        </is>
      </c>
      <c r="G526" s="3" t="n">
        <v>235.2</v>
      </c>
      <c r="H526" s="4" t="n">
        <v>196</v>
      </c>
      <c r="I526" s="2" t="n">
        <v>143</v>
      </c>
      <c r="J526" s="5" t="n">
        <v>46178</v>
      </c>
      <c r="K526" s="3" t="n">
        <v>1.2</v>
      </c>
      <c r="L526" s="6" t="inlineStr"/>
      <c r="M526" s="7">
        <f>IF(L526&gt;0,(K526-L526)/K526*100,"")</f>
        <v/>
      </c>
    </row>
    <row r="527">
      <c r="A527" t="n">
        <v>526</v>
      </c>
      <c r="B527" t="inlineStr">
        <is>
          <t>JD-27</t>
        </is>
      </c>
      <c r="C527" t="inlineStr">
        <is>
          <t>CINTA BLANCA X12</t>
        </is>
      </c>
      <c r="D527" t="inlineStr">
        <is>
          <t>Librería y Oficina</t>
        </is>
      </c>
      <c r="E527" t="inlineStr">
        <is>
          <t>Útiles Escolares</t>
        </is>
      </c>
      <c r="F527" t="inlineStr">
        <is>
          <t>Cintas y Contact</t>
        </is>
      </c>
      <c r="G527" s="8" t="n">
        <v>230.49</v>
      </c>
      <c r="H527" s="9" t="n">
        <v>60</v>
      </c>
      <c r="I527" t="n">
        <v>54</v>
      </c>
      <c r="J527" s="10" t="n">
        <v>46097</v>
      </c>
      <c r="K527" s="8" t="n">
        <v>3.88</v>
      </c>
      <c r="L527" s="6" t="inlineStr"/>
      <c r="M527" s="7">
        <f>IF(L527&gt;0,(K527-L527)/K527*100,"")</f>
        <v/>
      </c>
    </row>
    <row r="528">
      <c r="A528" s="2" t="n">
        <v>527</v>
      </c>
      <c r="B528" s="2" t="inlineStr">
        <is>
          <t>PL-11</t>
        </is>
      </c>
      <c r="C528" s="2" t="inlineStr">
        <is>
          <t>JARRA BONITA 4L +1 VASO</t>
        </is>
      </c>
      <c r="D528" s="2" t="inlineStr">
        <is>
          <t>Hogar y Decoración</t>
        </is>
      </c>
      <c r="E528" s="2" t="inlineStr">
        <is>
          <t>Menaje de Comedor</t>
        </is>
      </c>
      <c r="F528" s="2" t="inlineStr">
        <is>
          <t>Jarras</t>
        </is>
      </c>
      <c r="G528" s="3" t="n">
        <v>229.2</v>
      </c>
      <c r="H528" s="4" t="n">
        <v>37</v>
      </c>
      <c r="I528" s="2" t="n">
        <v>36</v>
      </c>
      <c r="J528" s="5" t="n">
        <v>46111</v>
      </c>
      <c r="K528" s="3" t="n">
        <v>6.19</v>
      </c>
      <c r="L528" s="6" t="inlineStr"/>
      <c r="M528" s="7">
        <f>IF(L528&gt;0,(K528-L528)/K528*100,"")</f>
        <v/>
      </c>
    </row>
    <row r="529">
      <c r="A529" t="n">
        <v>528</v>
      </c>
      <c r="B529" t="inlineStr">
        <is>
          <t>M-AF</t>
        </is>
      </c>
      <c r="C529" t="inlineStr">
        <is>
          <t>Figuras 2D Personsajes con mensajes</t>
        </is>
      </c>
      <c r="D529" t="inlineStr">
        <is>
          <t>Librería y Oficina</t>
        </is>
      </c>
      <c r="E529" t="inlineStr">
        <is>
          <t>Útiles Escolares</t>
        </is>
      </c>
      <c r="F529" t="inlineStr">
        <is>
          <t>Stickers y Calcomanías</t>
        </is>
      </c>
      <c r="G529" s="8" t="n">
        <v>226.62</v>
      </c>
      <c r="H529" s="9" t="n">
        <v>71</v>
      </c>
      <c r="I529" t="n">
        <v>43</v>
      </c>
      <c r="J529" s="10" t="n">
        <v>46170</v>
      </c>
      <c r="K529" s="8" t="n">
        <v>3.19</v>
      </c>
      <c r="L529" s="6" t="inlineStr"/>
      <c r="M529" s="7">
        <f>IF(L529&gt;0,(K529-L529)/K529*100,"")</f>
        <v/>
      </c>
    </row>
    <row r="530">
      <c r="A530" s="2" t="n">
        <v>529</v>
      </c>
      <c r="B530" s="2" t="inlineStr">
        <is>
          <t>75961067381668</t>
        </is>
      </c>
      <c r="C530" s="2" t="inlineStr">
        <is>
          <t>AC Nutribela Pro-Hialuronico 370ml ACONDICIONADOR</t>
        </is>
      </c>
      <c r="D530" s="2" t="inlineStr">
        <is>
          <t>Cuidado Personal y Salud</t>
        </is>
      </c>
      <c r="E530" s="2" t="inlineStr">
        <is>
          <t>Cuidado del Cabello</t>
        </is>
      </c>
      <c r="F530" s="2" t="inlineStr">
        <is>
          <t>Acondicionadores</t>
        </is>
      </c>
      <c r="G530" s="3" t="n">
        <v>223.5</v>
      </c>
      <c r="H530" s="4" t="n">
        <v>15</v>
      </c>
      <c r="I530" s="2" t="n">
        <v>15</v>
      </c>
      <c r="J530" s="5" t="n">
        <v>46169</v>
      </c>
      <c r="K530" s="3" t="n">
        <v>14.9</v>
      </c>
      <c r="L530" s="6" t="inlineStr"/>
      <c r="M530" s="7">
        <f>IF(L530&gt;0,(K530-L530)/K530*100,"")</f>
        <v/>
      </c>
    </row>
    <row r="531">
      <c r="A531" t="n">
        <v>530</v>
      </c>
      <c r="B531" t="inlineStr">
        <is>
          <t>AGL-106</t>
        </is>
      </c>
      <c r="C531" t="inlineStr">
        <is>
          <t>LABIAL AMAZONAS</t>
        </is>
      </c>
      <c r="D531" t="inlineStr">
        <is>
          <t>Belleza</t>
        </is>
      </c>
      <c r="E531" t="inlineStr">
        <is>
          <t>Maquillaje y Cosméticos</t>
        </is>
      </c>
      <c r="F531" t="inlineStr">
        <is>
          <t>Labial</t>
        </is>
      </c>
      <c r="G531" s="8" t="n">
        <v>221</v>
      </c>
      <c r="H531" s="9" t="n">
        <v>34</v>
      </c>
      <c r="I531" t="n">
        <v>33</v>
      </c>
      <c r="J531" s="10" t="n">
        <v>46174</v>
      </c>
      <c r="K531" s="8" t="n">
        <v>6.5</v>
      </c>
      <c r="L531" s="6" t="inlineStr"/>
      <c r="M531" s="7">
        <f>IF(L531&gt;0,(K531-L531)/K531*100,"")</f>
        <v/>
      </c>
    </row>
    <row r="532">
      <c r="A532" s="2" t="n">
        <v>531</v>
      </c>
      <c r="B532" s="2" t="inlineStr">
        <is>
          <t>75961537803313</t>
        </is>
      </c>
      <c r="C532" s="2" t="inlineStr">
        <is>
          <t>Galleta Costa S Wenazas 6x22</t>
        </is>
      </c>
      <c r="D532" s="2" t="inlineStr">
        <is>
          <t>Abarrotes</t>
        </is>
      </c>
      <c r="E532" s="2" t="inlineStr">
        <is>
          <t>Dulces y Chocolates</t>
        </is>
      </c>
      <c r="F532" s="2" t="inlineStr">
        <is>
          <t>Galletas</t>
        </is>
      </c>
      <c r="G532" s="3" t="n">
        <v>220</v>
      </c>
      <c r="H532" s="4" t="n">
        <v>55</v>
      </c>
      <c r="I532" s="2" t="n">
        <v>43</v>
      </c>
      <c r="J532" s="5" t="n">
        <v>46172</v>
      </c>
      <c r="K532" s="3" t="n">
        <v>4</v>
      </c>
      <c r="L532" s="6" t="inlineStr"/>
      <c r="M532" s="7">
        <f>IF(L532&gt;0,(K532-L532)/K532*100,"")</f>
        <v/>
      </c>
    </row>
    <row r="533">
      <c r="A533" t="n">
        <v>532</v>
      </c>
      <c r="B533" t="inlineStr">
        <is>
          <t>AGL-460</t>
        </is>
      </c>
      <c r="C533" t="inlineStr">
        <is>
          <t>LABIAL KISS KISS</t>
        </is>
      </c>
      <c r="D533" t="inlineStr">
        <is>
          <t>Belleza</t>
        </is>
      </c>
      <c r="E533" t="inlineStr">
        <is>
          <t>Maquillaje y Cosméticos</t>
        </is>
      </c>
      <c r="F533" t="inlineStr">
        <is>
          <t>Labial</t>
        </is>
      </c>
      <c r="G533" s="8" t="n">
        <v>220</v>
      </c>
      <c r="H533" s="9" t="n">
        <v>40</v>
      </c>
      <c r="I533" t="n">
        <v>39</v>
      </c>
      <c r="J533" s="10" t="n">
        <v>46176</v>
      </c>
      <c r="K533" s="8" t="n">
        <v>5.5</v>
      </c>
      <c r="L533" s="6" t="inlineStr"/>
      <c r="M533" s="7">
        <f>IF(L533&gt;0,(K533-L533)/K533*100,"")</f>
        <v/>
      </c>
    </row>
    <row r="534">
      <c r="A534" s="2" t="n">
        <v>533</v>
      </c>
      <c r="B534" s="2" t="inlineStr">
        <is>
          <t>805435</t>
        </is>
      </c>
      <c r="C534" s="2" t="inlineStr">
        <is>
          <t>26 SCOOL KOMBAT SET MALETA MED EVA 3D PAW PATROL H</t>
        </is>
      </c>
      <c r="D534" s="2" t="inlineStr">
        <is>
          <t>Librería y Oficina</t>
        </is>
      </c>
      <c r="E534" s="2" t="inlineStr">
        <is>
          <t>Mochilas y Cartucheras</t>
        </is>
      </c>
      <c r="F534" s="2" t="inlineStr">
        <is>
          <t>Mochilas Escolares</t>
        </is>
      </c>
      <c r="G534" s="3" t="n">
        <v>218.85</v>
      </c>
      <c r="H534" s="4" t="n">
        <v>2</v>
      </c>
      <c r="I534" s="2" t="n">
        <v>2</v>
      </c>
      <c r="J534" s="5" t="n">
        <v>46128</v>
      </c>
      <c r="K534" s="3" t="n">
        <v>109.43</v>
      </c>
      <c r="L534" s="6" t="inlineStr"/>
      <c r="M534" s="7">
        <f>IF(L534&gt;0,(K534-L534)/K534*100,"")</f>
        <v/>
      </c>
    </row>
    <row r="535">
      <c r="A535" t="n">
        <v>534</v>
      </c>
      <c r="B535" t="inlineStr">
        <is>
          <t>AGB-70</t>
        </is>
      </c>
      <c r="C535" t="inlineStr">
        <is>
          <t>GLOW CORRECTOR</t>
        </is>
      </c>
      <c r="D535" t="inlineStr">
        <is>
          <t>Belleza</t>
        </is>
      </c>
      <c r="E535" t="inlineStr">
        <is>
          <t>Maquillaje y Cosméticos</t>
        </is>
      </c>
      <c r="F535" t="inlineStr">
        <is>
          <t>Base y Correctores</t>
        </is>
      </c>
      <c r="G535" s="8" t="n">
        <v>217.5</v>
      </c>
      <c r="H535" s="9" t="n">
        <v>29</v>
      </c>
      <c r="I535" t="n">
        <v>26</v>
      </c>
      <c r="J535" s="10" t="n">
        <v>46118</v>
      </c>
      <c r="K535" s="8" t="n">
        <v>7.5</v>
      </c>
      <c r="L535" s="6" t="inlineStr"/>
      <c r="M535" s="7">
        <f>IF(L535&gt;0,(K535-L535)/K535*100,"")</f>
        <v/>
      </c>
    </row>
    <row r="536">
      <c r="A536" s="2" t="n">
        <v>535</v>
      </c>
      <c r="B536" s="2" t="inlineStr">
        <is>
          <t>234406</t>
        </is>
      </c>
      <c r="C536" s="2" t="inlineStr">
        <is>
          <t>MADISON CARBÓN DETOX MASCARILLA FACIAL 5UND</t>
        </is>
      </c>
      <c r="D536" s="2" t="inlineStr">
        <is>
          <t>Belleza</t>
        </is>
      </c>
      <c r="E536" s="2" t="inlineStr">
        <is>
          <t>Cuidado Facial</t>
        </is>
      </c>
      <c r="F536" s="2" t="inlineStr">
        <is>
          <t>Mascarillas Faciales</t>
        </is>
      </c>
      <c r="G536" s="3" t="n">
        <v>217</v>
      </c>
      <c r="H536" s="4" t="n">
        <v>62</v>
      </c>
      <c r="I536" s="2" t="n">
        <v>51</v>
      </c>
      <c r="J536" s="5" t="n">
        <v>46110</v>
      </c>
      <c r="K536" s="3" t="n">
        <v>3.5</v>
      </c>
      <c r="L536" s="6" t="inlineStr"/>
      <c r="M536" s="7">
        <f>IF(L536&gt;0,(K536-L536)/K536*100,"")</f>
        <v/>
      </c>
    </row>
    <row r="537">
      <c r="A537" t="n">
        <v>536</v>
      </c>
      <c r="B537" t="inlineStr">
        <is>
          <t>6976337021343</t>
        </is>
      </c>
      <c r="C537" t="inlineStr">
        <is>
          <t>GALL CRUJIENTE S/LECHE DE SOYA BIAOWEI</t>
        </is>
      </c>
      <c r="D537" t="inlineStr">
        <is>
          <t>Alimentos y Bebidas Importadas</t>
        </is>
      </c>
      <c r="E537" t="inlineStr">
        <is>
          <t>Snacks y Dulces Asiáticos</t>
        </is>
      </c>
      <c r="F537" t="inlineStr">
        <is>
          <t>Galletas y Bocaditos Dulces</t>
        </is>
      </c>
      <c r="G537" s="8" t="n">
        <v>216.6</v>
      </c>
      <c r="H537" s="9" t="n">
        <v>114</v>
      </c>
      <c r="I537" t="n">
        <v>105</v>
      </c>
      <c r="J537" s="10" t="n">
        <v>46168</v>
      </c>
      <c r="K537" s="8" t="n">
        <v>1.9</v>
      </c>
      <c r="L537" s="6" t="inlineStr"/>
      <c r="M537" s="7">
        <f>IF(L537&gt;0,(K537-L537)/K537*100,"")</f>
        <v/>
      </c>
    </row>
    <row r="538">
      <c r="A538" s="2" t="n">
        <v>537</v>
      </c>
      <c r="B538" s="2" t="inlineStr">
        <is>
          <t>DFTC-95</t>
        </is>
      </c>
      <c r="C538" s="2" t="inlineStr">
        <is>
          <t>TAZON</t>
        </is>
      </c>
      <c r="D538" s="2" t="inlineStr">
        <is>
          <t>Hogar y Decoración</t>
        </is>
      </c>
      <c r="E538" s="2" t="inlineStr">
        <is>
          <t>Menaje de Comedor</t>
        </is>
      </c>
      <c r="F538" s="2" t="inlineStr">
        <is>
          <t>Platos y Fuentes</t>
        </is>
      </c>
      <c r="G538" s="3" t="n">
        <v>216.3</v>
      </c>
      <c r="H538" s="4" t="n">
        <v>66</v>
      </c>
      <c r="I538" s="2" t="n">
        <v>27</v>
      </c>
      <c r="J538" s="5" t="n">
        <v>46105</v>
      </c>
      <c r="K538" s="3" t="n">
        <v>3.29</v>
      </c>
      <c r="L538" s="6" t="inlineStr"/>
      <c r="M538" s="7">
        <f>IF(L538&gt;0,(K538-L538)/K538*100,"")</f>
        <v/>
      </c>
    </row>
    <row r="539">
      <c r="A539" t="n">
        <v>538</v>
      </c>
      <c r="B539" t="inlineStr">
        <is>
          <t>JLP-ES</t>
        </is>
      </c>
      <c r="C539" t="inlineStr">
        <is>
          <t>Jabón de Lavar Popeye Extrema Suavidad 190Gr. (PQTX40)</t>
        </is>
      </c>
      <c r="D539" t="inlineStr">
        <is>
          <t>Limpieza</t>
        </is>
      </c>
      <c r="E539" t="inlineStr">
        <is>
          <t>Jabones para Ropa</t>
        </is>
      </c>
      <c r="F539" t="inlineStr">
        <is>
          <t>Jabon en Barra</t>
        </is>
      </c>
      <c r="G539" s="8" t="n">
        <v>216</v>
      </c>
      <c r="H539" s="9" t="n">
        <v>120</v>
      </c>
      <c r="I539" t="n">
        <v>69</v>
      </c>
      <c r="J539" s="10" t="n">
        <v>46169</v>
      </c>
      <c r="K539" s="8" t="n">
        <v>1.8</v>
      </c>
      <c r="L539" s="6" t="inlineStr"/>
      <c r="M539" s="7">
        <f>IF(L539&gt;0,(K539-L539)/K539*100,"")</f>
        <v/>
      </c>
    </row>
    <row r="540">
      <c r="A540" s="2" t="n">
        <v>539</v>
      </c>
      <c r="B540" s="2" t="inlineStr">
        <is>
          <t>KD-2708TI</t>
        </is>
      </c>
      <c r="C540" s="2" t="inlineStr">
        <is>
          <t>TABLA DE CORTAR</t>
        </is>
      </c>
      <c r="D540" s="2" t="inlineStr">
        <is>
          <t>Hogar y Decoración</t>
        </is>
      </c>
      <c r="E540" s="2" t="inlineStr">
        <is>
          <t>Menaje de Cocina</t>
        </is>
      </c>
      <c r="F540" s="2" t="inlineStr">
        <is>
          <t>Utensilios de Cocina</t>
        </is>
      </c>
      <c r="G540" s="3" t="n">
        <v>216</v>
      </c>
      <c r="H540" s="4" t="n">
        <v>48</v>
      </c>
      <c r="I540" s="2" t="n">
        <v>48</v>
      </c>
      <c r="J540" s="5" t="n">
        <v>46149</v>
      </c>
      <c r="K540" s="3" t="n">
        <v>4.5</v>
      </c>
      <c r="L540" s="6" t="inlineStr"/>
      <c r="M540" s="7">
        <f>IF(L540&gt;0,(K540-L540)/K540*100,"")</f>
        <v/>
      </c>
    </row>
    <row r="541">
      <c r="A541" t="n">
        <v>540</v>
      </c>
      <c r="B541" t="inlineStr">
        <is>
          <t>76063257299696</t>
        </is>
      </c>
      <c r="C541" t="inlineStr">
        <is>
          <t>Gomitas Trululu Aros 80g</t>
        </is>
      </c>
      <c r="D541" t="inlineStr">
        <is>
          <t>Abarrotes</t>
        </is>
      </c>
      <c r="E541" t="inlineStr">
        <is>
          <t>Dulces y Chocolates</t>
        </is>
      </c>
      <c r="F541" t="inlineStr">
        <is>
          <t>Gomitas</t>
        </is>
      </c>
      <c r="G541" s="8" t="n">
        <v>215</v>
      </c>
      <c r="H541" s="9" t="n">
        <v>86</v>
      </c>
      <c r="I541" t="n">
        <v>84</v>
      </c>
      <c r="J541" s="10" t="n">
        <v>46178</v>
      </c>
      <c r="K541" s="8" t="n">
        <v>2.5</v>
      </c>
      <c r="L541" s="6" t="inlineStr"/>
      <c r="M541" s="7">
        <f>IF(L541&gt;0,(K541-L541)/K541*100,"")</f>
        <v/>
      </c>
    </row>
    <row r="542">
      <c r="A542" s="2" t="n">
        <v>541</v>
      </c>
      <c r="B542" s="2" t="inlineStr">
        <is>
          <t>76106757648656</t>
        </is>
      </c>
      <c r="C542" s="2" t="inlineStr">
        <is>
          <t>GALLETA CRUJIENTE S/LECHE TARO BIAOWE</t>
        </is>
      </c>
      <c r="D542" s="2" t="inlineStr">
        <is>
          <t>Abarrotes</t>
        </is>
      </c>
      <c r="E542" s="2" t="inlineStr">
        <is>
          <t>Dulces y Chocolates</t>
        </is>
      </c>
      <c r="F542" s="2" t="inlineStr">
        <is>
          <t>Galletas</t>
        </is>
      </c>
      <c r="G542" s="3" t="n">
        <v>214.7</v>
      </c>
      <c r="H542" s="4" t="n">
        <v>113</v>
      </c>
      <c r="I542" s="2" t="n">
        <v>101</v>
      </c>
      <c r="J542" s="5" t="n">
        <v>46157</v>
      </c>
      <c r="K542" s="3" t="n">
        <v>1.9</v>
      </c>
      <c r="L542" s="6" t="inlineStr"/>
      <c r="M542" s="7">
        <f>IF(L542&gt;0,(K542-L542)/K542*100,"")</f>
        <v/>
      </c>
    </row>
    <row r="543">
      <c r="A543" t="n">
        <v>542</v>
      </c>
      <c r="B543" t="inlineStr">
        <is>
          <t>703486</t>
        </is>
      </c>
      <c r="C543" t="inlineStr">
        <is>
          <t>24 SCOOL BOT PP C/C 590ML POCOYO H</t>
        </is>
      </c>
      <c r="D543" t="inlineStr">
        <is>
          <t>Librería y Oficina</t>
        </is>
      </c>
      <c r="E543" t="inlineStr">
        <is>
          <t>Loncheras y Taperes Escolares</t>
        </is>
      </c>
      <c r="F543" t="inlineStr">
        <is>
          <t>Botellas Escolares</t>
        </is>
      </c>
      <c r="G543" s="8" t="n">
        <v>214.2</v>
      </c>
      <c r="H543" s="9" t="n">
        <v>18</v>
      </c>
      <c r="I543" t="n">
        <v>18</v>
      </c>
      <c r="J543" s="10" t="n">
        <v>46137</v>
      </c>
      <c r="K543" s="8" t="n">
        <v>11.9</v>
      </c>
      <c r="L543" s="6" t="inlineStr"/>
      <c r="M543" s="7">
        <f>IF(L543&gt;0,(K543-L543)/K543*100,"")</f>
        <v/>
      </c>
    </row>
    <row r="544">
      <c r="A544" s="2" t="n">
        <v>543</v>
      </c>
      <c r="B544" s="2" t="inlineStr">
        <is>
          <t>4710587181578</t>
        </is>
      </c>
      <c r="C544" s="2" t="inlineStr">
        <is>
          <t>Bebida Bubble Milk Tea Con Taro Lata 350</t>
        </is>
      </c>
      <c r="D544" s="2" t="inlineStr">
        <is>
          <t>Alimentos y Bebidas Importadas</t>
        </is>
      </c>
      <c r="E544" s="2" t="inlineStr">
        <is>
          <t>Bebidas Asiáticas</t>
        </is>
      </c>
      <c r="F544" s="2" t="inlineStr">
        <is>
          <t>Bubble Tea (Boba)</t>
        </is>
      </c>
      <c r="G544" s="3" t="n">
        <v>213.6</v>
      </c>
      <c r="H544" s="4" t="n">
        <v>24</v>
      </c>
      <c r="I544" s="2" t="n">
        <v>24</v>
      </c>
      <c r="J544" s="5" t="n">
        <v>46160</v>
      </c>
      <c r="K544" s="3" t="n">
        <v>8.9</v>
      </c>
      <c r="L544" s="6" t="inlineStr"/>
      <c r="M544" s="7">
        <f>IF(L544&gt;0,(K544-L544)/K544*100,"")</f>
        <v/>
      </c>
    </row>
    <row r="545">
      <c r="A545" t="n">
        <v>544</v>
      </c>
      <c r="B545" t="inlineStr">
        <is>
          <t>4710587184050</t>
        </is>
      </c>
      <c r="C545" t="inlineStr">
        <is>
          <t>Bebida Bubble Milk Tea Con Fresa 350GR</t>
        </is>
      </c>
      <c r="D545" t="inlineStr">
        <is>
          <t>Alimentos y Bebidas Importadas</t>
        </is>
      </c>
      <c r="E545" t="inlineStr">
        <is>
          <t>Bebidas Asiáticas</t>
        </is>
      </c>
      <c r="F545" t="inlineStr">
        <is>
          <t>Bubble Tea (Boba)</t>
        </is>
      </c>
      <c r="G545" s="8" t="n">
        <v>213.5</v>
      </c>
      <c r="H545" s="9" t="n">
        <v>24</v>
      </c>
      <c r="I545" t="n">
        <v>22</v>
      </c>
      <c r="J545" s="10" t="n">
        <v>46168</v>
      </c>
      <c r="K545" s="8" t="n">
        <v>8.9</v>
      </c>
      <c r="L545" s="6" t="inlineStr"/>
      <c r="M545" s="7">
        <f>IF(L545&gt;0,(K545-L545)/K545*100,"")</f>
        <v/>
      </c>
    </row>
    <row r="546">
      <c r="A546" s="2" t="n">
        <v>545</v>
      </c>
      <c r="B546" s="2" t="inlineStr">
        <is>
          <t>76106757666181</t>
        </is>
      </c>
      <c r="C546" s="2" t="inlineStr">
        <is>
          <t>GALLETA CRUJIENTE S/CACAO BIAOWEIZU 4</t>
        </is>
      </c>
      <c r="D546" s="2" t="inlineStr">
        <is>
          <t>Alimentos y Bebidas Importadas</t>
        </is>
      </c>
      <c r="E546" s="2" t="inlineStr">
        <is>
          <t>Snacks y Dulces Asiáticos</t>
        </is>
      </c>
      <c r="F546" s="2" t="inlineStr">
        <is>
          <t>Galletas y Bocaditos Dulces</t>
        </is>
      </c>
      <c r="G546" s="3" t="n">
        <v>212.8</v>
      </c>
      <c r="H546" s="4" t="n">
        <v>112</v>
      </c>
      <c r="I546" s="2" t="n">
        <v>98</v>
      </c>
      <c r="J546" s="5" t="n">
        <v>46146</v>
      </c>
      <c r="K546" s="3" t="n">
        <v>1.9</v>
      </c>
      <c r="L546" s="6" t="inlineStr"/>
      <c r="M546" s="7">
        <f>IF(L546&gt;0,(K546-L546)/K546*100,"")</f>
        <v/>
      </c>
    </row>
    <row r="547">
      <c r="A547" t="n">
        <v>546</v>
      </c>
      <c r="B547" t="inlineStr">
        <is>
          <t>797588</t>
        </is>
      </c>
      <c r="C547" t="inlineStr">
        <is>
          <t>MASKING 1 1/2(36MM)X 20 YD PEGAFAN(5CX30)</t>
        </is>
      </c>
      <c r="D547" t="inlineStr">
        <is>
          <t>Librería y Oficina</t>
        </is>
      </c>
      <c r="E547" t="inlineStr">
        <is>
          <t>Útiles Escolares</t>
        </is>
      </c>
      <c r="F547" t="inlineStr">
        <is>
          <t>Cintas y Contact</t>
        </is>
      </c>
      <c r="G547" s="8" t="n">
        <v>211.53</v>
      </c>
      <c r="H547" s="9" t="n">
        <v>56</v>
      </c>
      <c r="I547" t="n">
        <v>34</v>
      </c>
      <c r="J547" s="10" t="n">
        <v>46102</v>
      </c>
      <c r="K547" s="8" t="n">
        <v>3.83</v>
      </c>
      <c r="L547" s="6" t="inlineStr"/>
      <c r="M547" s="7">
        <f>IF(L547&gt;0,(K547-L547)/K547*100,"")</f>
        <v/>
      </c>
    </row>
    <row r="548">
      <c r="A548" s="2" t="n">
        <v>547</v>
      </c>
      <c r="B548" s="2" t="inlineStr">
        <is>
          <t>BP5502</t>
        </is>
      </c>
      <c r="C548" s="2" t="inlineStr">
        <is>
          <t>MOCHILA CON CARTUCHERA</t>
        </is>
      </c>
      <c r="D548" s="2" t="inlineStr">
        <is>
          <t>Librería y Oficina</t>
        </is>
      </c>
      <c r="E548" s="2" t="inlineStr">
        <is>
          <t>Mochilas y Cartucheras</t>
        </is>
      </c>
      <c r="F548" s="2" t="inlineStr">
        <is>
          <t>Mochilas Escolares</t>
        </is>
      </c>
      <c r="G548" s="3" t="n">
        <v>209.21</v>
      </c>
      <c r="H548" s="4" t="n">
        <v>3</v>
      </c>
      <c r="I548" s="2" t="n">
        <v>3</v>
      </c>
      <c r="J548" s="5" t="n">
        <v>46095</v>
      </c>
      <c r="K548" s="3" t="n">
        <v>69.73999999999999</v>
      </c>
      <c r="L548" s="6" t="inlineStr"/>
      <c r="M548" s="7">
        <f>IF(L548&gt;0,(K548-L548)/K548*100,"")</f>
        <v/>
      </c>
    </row>
    <row r="549">
      <c r="A549" t="n">
        <v>548</v>
      </c>
      <c r="B549" t="inlineStr">
        <is>
          <t>76106757665248</t>
        </is>
      </c>
      <c r="C549" t="inlineStr">
        <is>
          <t>GALL CRUJIENTE S/PLATANO/AGUATE  BIAOW</t>
        </is>
      </c>
      <c r="D549" t="inlineStr">
        <is>
          <t>Alimentos y Bebidas Importadas</t>
        </is>
      </c>
      <c r="E549" t="inlineStr">
        <is>
          <t>Snacks y Dulces Asiáticos</t>
        </is>
      </c>
      <c r="F549" t="inlineStr">
        <is>
          <t>Galletas y Bocaditos Dulces</t>
        </is>
      </c>
      <c r="G549" s="8" t="n">
        <v>207.1</v>
      </c>
      <c r="H549" s="9" t="n">
        <v>109</v>
      </c>
      <c r="I549" t="n">
        <v>105</v>
      </c>
      <c r="J549" s="10" t="n">
        <v>46178</v>
      </c>
      <c r="K549" s="8" t="n">
        <v>1.9</v>
      </c>
      <c r="L549" s="6" t="inlineStr"/>
      <c r="M549" s="7">
        <f>IF(L549&gt;0,(K549-L549)/K549*100,"")</f>
        <v/>
      </c>
    </row>
    <row r="550">
      <c r="A550" s="2" t="n">
        <v>549</v>
      </c>
      <c r="B550" s="2" t="inlineStr">
        <is>
          <t>8810</t>
        </is>
      </c>
      <c r="C550" s="2" t="inlineStr">
        <is>
          <t>Cartufera + 2 lápices c/n tajador borrador y regla</t>
        </is>
      </c>
      <c r="D550" s="2" t="inlineStr">
        <is>
          <t>Librería y Oficina</t>
        </is>
      </c>
      <c r="E550" s="2" t="inlineStr">
        <is>
          <t>Útiles Escolares</t>
        </is>
      </c>
      <c r="F550" s="2" t="inlineStr">
        <is>
          <t>Tijeras y Reglas</t>
        </is>
      </c>
      <c r="G550" s="3" t="n">
        <v>206.08</v>
      </c>
      <c r="H550" s="4" t="n">
        <v>65</v>
      </c>
      <c r="I550" s="2" t="n">
        <v>48</v>
      </c>
      <c r="J550" s="5" t="n">
        <v>46109</v>
      </c>
      <c r="K550" s="3" t="n">
        <v>3.19</v>
      </c>
      <c r="L550" s="6" t="inlineStr"/>
      <c r="M550" s="7">
        <f>IF(L550&gt;0,(K550-L550)/K550*100,"")</f>
        <v/>
      </c>
    </row>
    <row r="551">
      <c r="A551" t="n">
        <v>550</v>
      </c>
      <c r="B551" t="inlineStr">
        <is>
          <t>805454</t>
        </is>
      </c>
      <c r="C551" t="inlineStr">
        <is>
          <t>26 SCOOL KOMBAT SET MALETA GDE EVA 3D JURASSIC_B</t>
        </is>
      </c>
      <c r="D551" t="inlineStr">
        <is>
          <t>Librería y Oficina</t>
        </is>
      </c>
      <c r="E551" t="inlineStr">
        <is>
          <t>Mochilas y Cartucheras</t>
        </is>
      </c>
      <c r="F551" t="inlineStr">
        <is>
          <t>Mochilas Escolares</t>
        </is>
      </c>
      <c r="G551" s="8" t="n">
        <v>205.86</v>
      </c>
      <c r="H551" s="9" t="n">
        <v>2</v>
      </c>
      <c r="I551" t="n">
        <v>2</v>
      </c>
      <c r="J551" s="10" t="n">
        <v>46120</v>
      </c>
      <c r="K551" s="8" t="n">
        <v>102.93</v>
      </c>
      <c r="L551" s="6" t="inlineStr"/>
      <c r="M551" s="7">
        <f>IF(L551&gt;0,(K551-L551)/K551*100,"")</f>
        <v/>
      </c>
    </row>
    <row r="552">
      <c r="A552" s="2" t="n">
        <v>551</v>
      </c>
      <c r="B552" s="2" t="inlineStr">
        <is>
          <t>75875160780374</t>
        </is>
      </c>
      <c r="C552" s="2" t="inlineStr">
        <is>
          <t>Detergente en polvo Drive Ultra Care 1Kg</t>
        </is>
      </c>
      <c r="D552" s="2" t="inlineStr">
        <is>
          <t>Limpieza</t>
        </is>
      </c>
      <c r="E552" s="2" t="inlineStr">
        <is>
          <t>Detergentes y Suavizantes</t>
        </is>
      </c>
      <c r="F552" s="2" t="inlineStr">
        <is>
          <t>Detergentes en Polvo</t>
        </is>
      </c>
      <c r="G552" s="3" t="n">
        <v>205.4</v>
      </c>
      <c r="H552" s="4" t="n">
        <v>26</v>
      </c>
      <c r="I552" s="2" t="n">
        <v>26</v>
      </c>
      <c r="J552" s="5" t="n">
        <v>46177</v>
      </c>
      <c r="K552" s="3" t="n">
        <v>7.9</v>
      </c>
      <c r="L552" s="6" t="inlineStr"/>
      <c r="M552" s="7">
        <f>IF(L552&gt;0,(K552-L552)/K552*100,"")</f>
        <v/>
      </c>
    </row>
    <row r="553">
      <c r="A553" t="n">
        <v>552</v>
      </c>
      <c r="B553" t="inlineStr">
        <is>
          <t>76754493070818</t>
        </is>
      </c>
      <c r="C553" t="inlineStr">
        <is>
          <t>FIDEOS SABOR CARNE DE CERDO 110GR CAJ*</t>
        </is>
      </c>
      <c r="D553" t="inlineStr">
        <is>
          <t>Alimentos y Bebidas Importadas</t>
        </is>
      </c>
      <c r="E553" t="inlineStr">
        <is>
          <t>Sopas y Fideos Instantáneos</t>
        </is>
      </c>
      <c r="F553" t="inlineStr">
        <is>
          <t>Fideos de Trigo (Ramen)</t>
        </is>
      </c>
      <c r="G553" s="8" t="n">
        <v>204</v>
      </c>
      <c r="H553" s="9" t="n">
        <v>24</v>
      </c>
      <c r="I553" t="n">
        <v>22</v>
      </c>
      <c r="J553" s="10" t="n">
        <v>46111</v>
      </c>
      <c r="K553" s="8" t="n">
        <v>8.5</v>
      </c>
      <c r="L553" s="6" t="inlineStr"/>
      <c r="M553" s="7">
        <f>IF(L553&gt;0,(K553-L553)/K553*100,"")</f>
        <v/>
      </c>
    </row>
    <row r="554">
      <c r="A554" s="2" t="n">
        <v>553</v>
      </c>
      <c r="B554" s="2" t="inlineStr">
        <is>
          <t>GF-3120</t>
        </is>
      </c>
      <c r="C554" s="2" t="inlineStr">
        <is>
          <t>PARAGUA</t>
        </is>
      </c>
      <c r="D554" s="2" t="inlineStr">
        <is>
          <t>Accesorios</t>
        </is>
      </c>
      <c r="E554" s="2" t="inlineStr">
        <is>
          <t>Accesorios Mujer</t>
        </is>
      </c>
      <c r="F554" s="2" t="inlineStr">
        <is>
          <t>Paraguas</t>
        </is>
      </c>
      <c r="G554" s="3" t="n">
        <v>203.6</v>
      </c>
      <c r="H554" s="4" t="n">
        <v>26</v>
      </c>
      <c r="I554" s="2" t="n">
        <v>20</v>
      </c>
      <c r="J554" s="5" t="n">
        <v>46100</v>
      </c>
      <c r="K554" s="3" t="n">
        <v>7.87</v>
      </c>
      <c r="L554" s="6" t="inlineStr"/>
      <c r="M554" s="7">
        <f>IF(L554&gt;0,(K554-L554)/K554*100,"")</f>
        <v/>
      </c>
    </row>
    <row r="555">
      <c r="A555" t="n">
        <v>554</v>
      </c>
      <c r="B555" t="inlineStr">
        <is>
          <t>76002287480381</t>
        </is>
      </c>
      <c r="C555" t="inlineStr">
        <is>
          <t>Gomitas Trululu Dinos 80gr (PQTX12)</t>
        </is>
      </c>
      <c r="D555" t="inlineStr">
        <is>
          <t>Abarrotes</t>
        </is>
      </c>
      <c r="E555" t="inlineStr">
        <is>
          <t>Dulces y Chocolates</t>
        </is>
      </c>
      <c r="F555" t="inlineStr">
        <is>
          <t>Gomitas</t>
        </is>
      </c>
      <c r="G555" s="8" t="n">
        <v>202.5</v>
      </c>
      <c r="H555" s="9" t="n">
        <v>81</v>
      </c>
      <c r="I555" t="n">
        <v>76</v>
      </c>
      <c r="J555" s="10" t="n">
        <v>46176</v>
      </c>
      <c r="K555" s="8" t="n">
        <v>2.5</v>
      </c>
      <c r="L555" s="6" t="inlineStr"/>
      <c r="M555" s="7">
        <f>IF(L555&gt;0,(K555-L555)/K555*100,"")</f>
        <v/>
      </c>
    </row>
    <row r="556">
      <c r="A556" s="2" t="n">
        <v>555</v>
      </c>
      <c r="B556" s="2" t="inlineStr">
        <is>
          <t>KD-2605</t>
        </is>
      </c>
      <c r="C556" s="2" t="inlineStr">
        <is>
          <t>RECIPIENTE VIDRIO EN CAJA</t>
        </is>
      </c>
      <c r="D556" s="2" t="inlineStr">
        <is>
          <t>Hogar y Decoración</t>
        </is>
      </c>
      <c r="E556" s="2" t="inlineStr">
        <is>
          <t>Menaje de Cocina</t>
        </is>
      </c>
      <c r="F556" s="2" t="inlineStr">
        <is>
          <t>Tapers y Contenedores</t>
        </is>
      </c>
      <c r="G556" s="3" t="n">
        <v>202.2</v>
      </c>
      <c r="H556" s="4" t="n">
        <v>37</v>
      </c>
      <c r="I556" s="2" t="n">
        <v>8</v>
      </c>
      <c r="J556" s="5" t="n">
        <v>46148</v>
      </c>
      <c r="K556" s="3" t="n">
        <v>5.66</v>
      </c>
      <c r="L556" s="6" t="inlineStr"/>
      <c r="M556" s="7">
        <f>IF(L556&gt;0,(K556-L556)/K556*100,"")</f>
        <v/>
      </c>
    </row>
    <row r="557">
      <c r="A557" t="n">
        <v>556</v>
      </c>
      <c r="B557" t="inlineStr">
        <is>
          <t>704319</t>
        </is>
      </c>
      <c r="C557" t="inlineStr">
        <is>
          <t>25 SCOOL INV BOTELLA PP 590ML C/CAÑA JURASSIC</t>
        </is>
      </c>
      <c r="D557" t="inlineStr">
        <is>
          <t>Librería y Oficina</t>
        </is>
      </c>
      <c r="E557" t="inlineStr">
        <is>
          <t>Loncheras y Taperes Escolares</t>
        </is>
      </c>
      <c r="F557" t="inlineStr">
        <is>
          <t>Botellas Escolares</t>
        </is>
      </c>
      <c r="G557" s="8" t="n">
        <v>201.5</v>
      </c>
      <c r="H557" s="9" t="n">
        <v>17</v>
      </c>
      <c r="I557" t="n">
        <v>16</v>
      </c>
      <c r="J557" s="10" t="n">
        <v>46103</v>
      </c>
      <c r="K557" s="8" t="n">
        <v>11.88</v>
      </c>
      <c r="L557" s="6" t="inlineStr"/>
      <c r="M557" s="7">
        <f>IF(L557&gt;0,(K557-L557)/K557*100,"")</f>
        <v/>
      </c>
    </row>
    <row r="558">
      <c r="A558" s="2" t="n">
        <v>557</v>
      </c>
      <c r="B558" s="2" t="inlineStr">
        <is>
          <t>76106757820913</t>
        </is>
      </c>
      <c r="C558" s="2" t="inlineStr">
        <is>
          <t>LICOR FRUTADO CON BRANDY SABOR NARA</t>
        </is>
      </c>
      <c r="D558" s="2" t="inlineStr">
        <is>
          <t>Alimentos y Bebidas Importadas</t>
        </is>
      </c>
      <c r="E558" s="2" t="inlineStr">
        <is>
          <t>Licores Asiáticos</t>
        </is>
      </c>
      <c r="F558" s="2" t="inlineStr">
        <is>
          <t>Licores Frutales y Cocteles</t>
        </is>
      </c>
      <c r="G558" s="3" t="n">
        <v>199.5</v>
      </c>
      <c r="H558" s="4" t="n">
        <v>21</v>
      </c>
      <c r="I558" s="2" t="n">
        <v>19</v>
      </c>
      <c r="J558" s="5" t="n">
        <v>46176</v>
      </c>
      <c r="K558" s="3" t="n">
        <v>9.5</v>
      </c>
      <c r="L558" s="6" t="inlineStr"/>
      <c r="M558" s="7">
        <f>IF(L558&gt;0,(K558-L558)/K558*100,"")</f>
        <v/>
      </c>
    </row>
    <row r="559">
      <c r="A559" t="n">
        <v>558</v>
      </c>
      <c r="B559" t="inlineStr">
        <is>
          <t>2110110033</t>
        </is>
      </c>
      <c r="C559" t="inlineStr">
        <is>
          <t>GOMA LÍQUIDA TRANSPARENTE LAYCONSA X 240 ML</t>
        </is>
      </c>
      <c r="D559" t="inlineStr">
        <is>
          <t>Librería y Oficina</t>
        </is>
      </c>
      <c r="E559" t="inlineStr">
        <is>
          <t>Útiles Escolares</t>
        </is>
      </c>
      <c r="F559" t="inlineStr">
        <is>
          <t>Pegamentos y Silicona</t>
        </is>
      </c>
      <c r="G559" s="8" t="n">
        <v>199.36</v>
      </c>
      <c r="H559" s="9" t="n">
        <v>72</v>
      </c>
      <c r="I559" t="n">
        <v>58</v>
      </c>
      <c r="J559" s="10" t="n">
        <v>46097</v>
      </c>
      <c r="K559" s="8" t="n">
        <v>2.79</v>
      </c>
      <c r="L559" s="6" t="inlineStr"/>
      <c r="M559" s="7">
        <f>IF(L559&gt;0,(K559-L559)/K559*100,"")</f>
        <v/>
      </c>
    </row>
    <row r="560">
      <c r="A560" s="2" t="n">
        <v>559</v>
      </c>
      <c r="B560" s="2" t="inlineStr">
        <is>
          <t>21507</t>
        </is>
      </c>
      <c r="C560" s="2" t="inlineStr">
        <is>
          <t>AQUA NARANJA LIMA JABÓN EN BARRA ANTIBACTERIAL 75G</t>
        </is>
      </c>
      <c r="D560" s="2" t="inlineStr">
        <is>
          <t>Cuidado Personal y Salud</t>
        </is>
      </c>
      <c r="E560" s="2" t="inlineStr">
        <is>
          <t>Higiene Personal</t>
        </is>
      </c>
      <c r="F560" s="2" t="inlineStr">
        <is>
          <t>Jabones Corporales</t>
        </is>
      </c>
      <c r="G560" s="3" t="n">
        <v>199.2</v>
      </c>
      <c r="H560" s="4" t="n">
        <v>166</v>
      </c>
      <c r="I560" s="2" t="n">
        <v>140</v>
      </c>
      <c r="J560" s="5" t="n">
        <v>46178</v>
      </c>
      <c r="K560" s="3" t="n">
        <v>1.2</v>
      </c>
      <c r="L560" s="6" t="inlineStr"/>
      <c r="M560" s="7">
        <f>IF(L560&gt;0,(K560-L560)/K560*100,"")</f>
        <v/>
      </c>
    </row>
    <row r="561">
      <c r="A561" t="n">
        <v>560</v>
      </c>
      <c r="B561" t="inlineStr">
        <is>
          <t>475824</t>
        </is>
      </c>
      <c r="C561" t="inlineStr">
        <is>
          <t>CUAD ANILL A4 160H CUADR DIS H TD 5D CJX24 JUSTUS 004-0230(1CX24)</t>
        </is>
      </c>
      <c r="D561" t="inlineStr">
        <is>
          <t>Librería y Oficina</t>
        </is>
      </c>
      <c r="E561" t="inlineStr">
        <is>
          <t>Útiles Escolares</t>
        </is>
      </c>
      <c r="F561" t="inlineStr">
        <is>
          <t>Cuadernos y Blocks</t>
        </is>
      </c>
      <c r="G561" s="8" t="n">
        <v>199</v>
      </c>
      <c r="H561" s="9" t="n">
        <v>10</v>
      </c>
      <c r="I561" t="n">
        <v>10</v>
      </c>
      <c r="J561" s="10" t="n">
        <v>46104</v>
      </c>
      <c r="K561" s="8" t="n">
        <v>19.9</v>
      </c>
      <c r="L561" s="6" t="inlineStr"/>
      <c r="M561" s="7">
        <f>IF(L561&gt;0,(K561-L561)/K561*100,"")</f>
        <v/>
      </c>
    </row>
    <row r="562">
      <c r="A562" s="2" t="n">
        <v>561</v>
      </c>
      <c r="B562" s="2" t="inlineStr">
        <is>
          <t>F-8818-24</t>
        </is>
      </c>
      <c r="C562" s="2" t="inlineStr">
        <is>
          <t>PLUMON X24</t>
        </is>
      </c>
      <c r="D562" s="2" t="inlineStr">
        <is>
          <t>Librería y Oficina</t>
        </is>
      </c>
      <c r="E562" s="2" t="inlineStr">
        <is>
          <t>Útiles Escolares</t>
        </is>
      </c>
      <c r="F562" s="2" t="inlineStr">
        <is>
          <t>Plumones y Marcadores</t>
        </is>
      </c>
      <c r="G562" s="3" t="n">
        <v>196.25</v>
      </c>
      <c r="H562" s="4" t="n">
        <v>16</v>
      </c>
      <c r="I562" s="2" t="n">
        <v>14</v>
      </c>
      <c r="J562" s="5" t="n">
        <v>46095</v>
      </c>
      <c r="K562" s="3" t="n">
        <v>12.41</v>
      </c>
      <c r="L562" s="6" t="inlineStr"/>
      <c r="M562" s="7">
        <f>IF(L562&gt;0,(K562-L562)/K562*100,"")</f>
        <v/>
      </c>
    </row>
    <row r="563">
      <c r="A563" t="n">
        <v>562</v>
      </c>
      <c r="B563" t="inlineStr">
        <is>
          <t>INT414013</t>
        </is>
      </c>
      <c r="C563" t="inlineStr">
        <is>
          <t>Detergente Patito Limon 4Kg PQT x4</t>
        </is>
      </c>
      <c r="D563" t="inlineStr">
        <is>
          <t>Limpieza</t>
        </is>
      </c>
      <c r="E563" t="inlineStr">
        <is>
          <t>Detergentes y Suavizantes</t>
        </is>
      </c>
      <c r="F563" t="inlineStr">
        <is>
          <t>Detergentes en Polvo</t>
        </is>
      </c>
      <c r="G563" s="8" t="n">
        <v>196</v>
      </c>
      <c r="H563" s="9" t="n">
        <v>8</v>
      </c>
      <c r="I563" t="n">
        <v>8</v>
      </c>
      <c r="J563" s="10" t="n">
        <v>46152</v>
      </c>
      <c r="K563" s="8" t="n">
        <v>24.5</v>
      </c>
      <c r="L563" s="6" t="inlineStr"/>
      <c r="M563" s="7">
        <f>IF(L563&gt;0,(K563-L563)/K563*100,"")</f>
        <v/>
      </c>
    </row>
    <row r="564">
      <c r="A564" s="2" t="n">
        <v>563</v>
      </c>
      <c r="B564" s="2" t="inlineStr">
        <is>
          <t>76754492944419</t>
        </is>
      </c>
      <c r="C564" s="2" t="inlineStr">
        <is>
          <t>CRAMELO DURO RELL C/CREMA SABOR FRE</t>
        </is>
      </c>
      <c r="D564" s="2" t="inlineStr">
        <is>
          <t>Alimentos y Bebidas Importadas</t>
        </is>
      </c>
      <c r="E564" s="2" t="inlineStr">
        <is>
          <t>Snacks y Dulces Asiáticos</t>
        </is>
      </c>
      <c r="F564" s="2" t="inlineStr">
        <is>
          <t>Caramelos y Gomitas</t>
        </is>
      </c>
      <c r="G564" s="3" t="n">
        <v>195</v>
      </c>
      <c r="H564" s="4" t="n">
        <v>50</v>
      </c>
      <c r="I564" s="2" t="n">
        <v>47</v>
      </c>
      <c r="J564" s="5" t="n">
        <v>46114</v>
      </c>
      <c r="K564" s="3" t="n">
        <v>3.9</v>
      </c>
      <c r="L564" s="6" t="inlineStr"/>
      <c r="M564" s="7">
        <f>IF(L564&gt;0,(K564-L564)/K564*100,"")</f>
        <v/>
      </c>
    </row>
    <row r="565">
      <c r="A565" t="n">
        <v>564</v>
      </c>
      <c r="B565" t="inlineStr">
        <is>
          <t>76203884725636</t>
        </is>
      </c>
      <c r="C565" t="inlineStr">
        <is>
          <t>AMbientador Sapolio Spray Potpourri de flores</t>
        </is>
      </c>
      <c r="D565" t="inlineStr">
        <is>
          <t>Limpieza</t>
        </is>
      </c>
      <c r="E565" t="inlineStr">
        <is>
          <t>Limpiadores Específicos</t>
        </is>
      </c>
      <c r="F565" t="inlineStr">
        <is>
          <t>Ambientadores</t>
        </is>
      </c>
      <c r="G565" s="8" t="n">
        <v>195</v>
      </c>
      <c r="H565" s="9" t="n">
        <v>30</v>
      </c>
      <c r="I565" t="n">
        <v>30</v>
      </c>
      <c r="J565" s="10" t="n">
        <v>46175</v>
      </c>
      <c r="K565" s="8" t="n">
        <v>6.5</v>
      </c>
      <c r="L565" s="6" t="inlineStr"/>
      <c r="M565" s="7">
        <f>IF(L565&gt;0,(K565-L565)/K565*100,"")</f>
        <v/>
      </c>
    </row>
    <row r="566">
      <c r="A566" s="2" t="n">
        <v>565</v>
      </c>
      <c r="B566" s="2" t="inlineStr">
        <is>
          <t>JUS-05</t>
        </is>
      </c>
      <c r="C566" s="2" t="inlineStr">
        <is>
          <t>CUADERNO JUSTUS DOBLE RAYA</t>
        </is>
      </c>
      <c r="D566" s="2" t="inlineStr">
        <is>
          <t>Librería y Oficina</t>
        </is>
      </c>
      <c r="E566" s="2" t="inlineStr">
        <is>
          <t>Útiles Escolares</t>
        </is>
      </c>
      <c r="F566" s="2" t="inlineStr">
        <is>
          <t>Cuadernos y Blocks</t>
        </is>
      </c>
      <c r="G566" s="3" t="n">
        <v>195</v>
      </c>
      <c r="H566" s="4" t="n">
        <v>50</v>
      </c>
      <c r="I566" s="2" t="n">
        <v>31</v>
      </c>
      <c r="J566" s="5" t="n">
        <v>46169</v>
      </c>
      <c r="K566" s="3" t="n">
        <v>3.9</v>
      </c>
      <c r="L566" s="6" t="inlineStr"/>
      <c r="M566" s="7">
        <f>IF(L566&gt;0,(K566-L566)/K566*100,"")</f>
        <v/>
      </c>
    </row>
    <row r="567">
      <c r="A567" t="n">
        <v>566</v>
      </c>
      <c r="B567" t="inlineStr">
        <is>
          <t>77204702113969</t>
        </is>
      </c>
      <c r="C567" t="inlineStr">
        <is>
          <t>Galleta con Crema Sabor Matcha Sable 50g</t>
        </is>
      </c>
      <c r="D567" t="inlineStr">
        <is>
          <t>Alimentos y Bebidas Importadas</t>
        </is>
      </c>
      <c r="E567" t="inlineStr">
        <is>
          <t>Snacks y Dulces Asiáticos</t>
        </is>
      </c>
      <c r="F567" t="inlineStr">
        <is>
          <t>Galletas y Bocaditos Dulces</t>
        </is>
      </c>
      <c r="G567" s="8" t="n">
        <v>194.7</v>
      </c>
      <c r="H567" s="9" t="n">
        <v>33</v>
      </c>
      <c r="I567" t="n">
        <v>31</v>
      </c>
      <c r="J567" s="10" t="n">
        <v>46127</v>
      </c>
      <c r="K567" s="8" t="n">
        <v>5.9</v>
      </c>
      <c r="L567" s="6" t="inlineStr"/>
      <c r="M567" s="7">
        <f>IF(L567&gt;0,(K567-L567)/K567*100,"")</f>
        <v/>
      </c>
    </row>
    <row r="568">
      <c r="A568" s="2" t="n">
        <v>567</v>
      </c>
      <c r="B568" s="2" t="inlineStr">
        <is>
          <t>77204702054294</t>
        </is>
      </c>
      <c r="C568" s="2" t="inlineStr">
        <is>
          <t>Pastel de Chocolate Choco Pie Daliyuan 2</t>
        </is>
      </c>
      <c r="D568" s="2" t="inlineStr">
        <is>
          <t>Alimentos y Bebidas Importadas</t>
        </is>
      </c>
      <c r="E568" s="2" t="inlineStr">
        <is>
          <t>Snacks y Dulces Asiáticos</t>
        </is>
      </c>
      <c r="F568" s="2" t="inlineStr">
        <is>
          <t>Chocolates y Pasteles</t>
        </is>
      </c>
      <c r="G568" s="3" t="n">
        <v>193.5</v>
      </c>
      <c r="H568" s="4" t="n">
        <v>15</v>
      </c>
      <c r="I568" s="2" t="n">
        <v>13</v>
      </c>
      <c r="J568" s="5" t="n">
        <v>46108</v>
      </c>
      <c r="K568" s="3" t="n">
        <v>12.9</v>
      </c>
      <c r="L568" s="6" t="inlineStr"/>
      <c r="M568" s="7">
        <f>IF(L568&gt;0,(K568-L568)/K568*100,"")</f>
        <v/>
      </c>
    </row>
    <row r="569">
      <c r="A569" t="n">
        <v>568</v>
      </c>
      <c r="B569" t="inlineStr">
        <is>
          <t>MC-9</t>
        </is>
      </c>
      <c r="C569" t="inlineStr">
        <is>
          <t>SET SALSA X4</t>
        </is>
      </c>
      <c r="D569" t="inlineStr">
        <is>
          <t>Hogar y Decoración</t>
        </is>
      </c>
      <c r="E569" t="inlineStr">
        <is>
          <t>Menaje de Comedor</t>
        </is>
      </c>
      <c r="F569" t="inlineStr">
        <is>
          <t>Accesorios de Mesa</t>
        </is>
      </c>
      <c r="G569" s="8" t="n">
        <v>192.93</v>
      </c>
      <c r="H569" s="9" t="n">
        <v>18</v>
      </c>
      <c r="I569" t="n">
        <v>16</v>
      </c>
      <c r="J569" s="10" t="n">
        <v>46140</v>
      </c>
      <c r="K569" s="8" t="n">
        <v>10.7</v>
      </c>
      <c r="L569" s="6" t="inlineStr"/>
      <c r="M569" s="7">
        <f>IF(L569&gt;0,(K569-L569)/K569*100,"")</f>
        <v/>
      </c>
    </row>
    <row r="570">
      <c r="A570" s="2" t="n">
        <v>569</v>
      </c>
      <c r="B570" s="2" t="inlineStr">
        <is>
          <t>TXD-1002</t>
        </is>
      </c>
      <c r="C570" s="2" t="inlineStr">
        <is>
          <t>Afeitadora</t>
        </is>
      </c>
      <c r="D570" s="2" t="inlineStr">
        <is>
          <t>Cuidado Personal y Salud</t>
        </is>
      </c>
      <c r="E570" s="2" t="inlineStr">
        <is>
          <t>Afeitado</t>
        </is>
      </c>
      <c r="F570" s="2" t="inlineStr">
        <is>
          <t>Máquinas de Afeitar y Repuestos</t>
        </is>
      </c>
      <c r="G570" s="3" t="n">
        <v>191.4</v>
      </c>
      <c r="H570" s="4" t="n">
        <v>58</v>
      </c>
      <c r="I570" s="2" t="n">
        <v>54</v>
      </c>
      <c r="J570" s="5" t="n">
        <v>46096</v>
      </c>
      <c r="K570" s="3" t="n">
        <v>3.3</v>
      </c>
      <c r="L570" s="6" t="inlineStr"/>
      <c r="M570" s="7">
        <f>IF(L570&gt;0,(K570-L570)/K570*100,"")</f>
        <v/>
      </c>
    </row>
    <row r="571">
      <c r="A571" t="n">
        <v>570</v>
      </c>
      <c r="B571" t="inlineStr">
        <is>
          <t>75755617694548</t>
        </is>
      </c>
      <c r="C571" t="inlineStr">
        <is>
          <t>Galletas sabor piña 137GR*30</t>
        </is>
      </c>
      <c r="D571" t="inlineStr">
        <is>
          <t>Alimentos y Bebidas Importadas</t>
        </is>
      </c>
      <c r="E571" t="inlineStr">
        <is>
          <t>Snacks y Dulces Asiáticos</t>
        </is>
      </c>
      <c r="F571" t="inlineStr">
        <is>
          <t>Galletas y Bocaditos Dulces</t>
        </is>
      </c>
      <c r="G571" s="8" t="n">
        <v>189.6</v>
      </c>
      <c r="H571" s="9" t="n">
        <v>24</v>
      </c>
      <c r="I571" t="n">
        <v>22</v>
      </c>
      <c r="J571" s="10" t="n">
        <v>46122</v>
      </c>
      <c r="K571" s="8" t="n">
        <v>7.9</v>
      </c>
      <c r="L571" s="6" t="inlineStr"/>
      <c r="M571" s="7">
        <f>IF(L571&gt;0,(K571-L571)/K571*100,"")</f>
        <v/>
      </c>
    </row>
    <row r="572">
      <c r="A572" s="2" t="n">
        <v>571</v>
      </c>
      <c r="B572" s="2" t="inlineStr">
        <is>
          <t>MMAC1718</t>
        </is>
      </c>
      <c r="C572" s="2" t="inlineStr">
        <is>
          <t>JGT MUÑECA NOELI GRANDE</t>
        </is>
      </c>
      <c r="D572" s="2" t="inlineStr">
        <is>
          <t>Juguetes y Juegos</t>
        </is>
      </c>
      <c r="E572" s="2" t="inlineStr">
        <is>
          <t>Juguetes</t>
        </is>
      </c>
      <c r="F572" s="2" t="inlineStr">
        <is>
          <t>Juguetes Variados</t>
        </is>
      </c>
      <c r="G572" s="3" t="n">
        <v>189.5</v>
      </c>
      <c r="H572" s="4" t="n">
        <v>5</v>
      </c>
      <c r="I572" s="2" t="n">
        <v>5</v>
      </c>
      <c r="J572" s="5" t="n">
        <v>46178</v>
      </c>
      <c r="K572" s="3" t="n">
        <v>37.9</v>
      </c>
      <c r="L572" s="6" t="inlineStr"/>
      <c r="M572" s="7">
        <f>IF(L572&gt;0,(K572-L572)/K572*100,"")</f>
        <v/>
      </c>
    </row>
    <row r="573">
      <c r="A573" t="n">
        <v>572</v>
      </c>
      <c r="B573" t="inlineStr">
        <is>
          <t>2110110025</t>
        </is>
      </c>
      <c r="C573" t="inlineStr">
        <is>
          <t>COLA SINTÉTICA LAYCONSA X 60 G. C/ DISPENSADOR</t>
        </is>
      </c>
      <c r="D573" t="inlineStr">
        <is>
          <t>Librería y Oficina</t>
        </is>
      </c>
      <c r="E573" t="inlineStr">
        <is>
          <t>Útiles Escolares</t>
        </is>
      </c>
      <c r="F573" t="inlineStr">
        <is>
          <t>Pegamentos y Silicona</t>
        </is>
      </c>
      <c r="G573" s="8" t="n">
        <v>189.3</v>
      </c>
      <c r="H573" s="9" t="n">
        <v>132</v>
      </c>
      <c r="I573" t="n">
        <v>68</v>
      </c>
      <c r="J573" s="10" t="n">
        <v>46105</v>
      </c>
      <c r="K573" s="8" t="n">
        <v>1.48</v>
      </c>
      <c r="L573" s="6" t="inlineStr"/>
      <c r="M573" s="7">
        <f>IF(L573&gt;0,(K573-L573)/K573*100,"")</f>
        <v/>
      </c>
    </row>
    <row r="574">
      <c r="A574" s="2" t="n">
        <v>573</v>
      </c>
      <c r="B574" s="2" t="inlineStr">
        <is>
          <t>AGL-105</t>
        </is>
      </c>
      <c r="C574" s="2" t="inlineStr">
        <is>
          <t>Labial Frutitas</t>
        </is>
      </c>
      <c r="D574" s="2" t="inlineStr">
        <is>
          <t>Belleza</t>
        </is>
      </c>
      <c r="E574" s="2" t="inlineStr">
        <is>
          <t>Maquillaje y Cosméticos</t>
        </is>
      </c>
      <c r="F574" s="2" t="inlineStr">
        <is>
          <t>Labial</t>
        </is>
      </c>
      <c r="G574" s="3" t="n">
        <v>188.5</v>
      </c>
      <c r="H574" s="4" t="n">
        <v>29</v>
      </c>
      <c r="I574" s="2" t="n">
        <v>28</v>
      </c>
      <c r="J574" s="5" t="n">
        <v>46169</v>
      </c>
      <c r="K574" s="3" t="n">
        <v>6.5</v>
      </c>
      <c r="L574" s="6" t="inlineStr"/>
      <c r="M574" s="7">
        <f>IF(L574&gt;0,(K574-L574)/K574*100,"")</f>
        <v/>
      </c>
    </row>
    <row r="575">
      <c r="A575" t="n">
        <v>574</v>
      </c>
      <c r="B575" t="inlineStr">
        <is>
          <t>360224</t>
        </is>
      </c>
      <c r="C575" t="inlineStr">
        <is>
          <t>ME TOO KING MILLION EDT 50ML</t>
        </is>
      </c>
      <c r="D575" t="inlineStr">
        <is>
          <t>Belleza</t>
        </is>
      </c>
      <c r="E575" t="inlineStr">
        <is>
          <t>Perfumes y Fragancias</t>
        </is>
      </c>
      <c r="F575" t="inlineStr">
        <is>
          <t>Perfumes para Hombre</t>
        </is>
      </c>
      <c r="G575" s="8" t="n">
        <v>188.3</v>
      </c>
      <c r="H575" s="9" t="n">
        <v>11</v>
      </c>
      <c r="I575" t="n">
        <v>11</v>
      </c>
      <c r="J575" s="10" t="n">
        <v>46178</v>
      </c>
      <c r="K575" s="8" t="n">
        <v>17.12</v>
      </c>
      <c r="L575" s="6" t="inlineStr"/>
      <c r="M575" s="7">
        <f>IF(L575&gt;0,(K575-L575)/K575*100,"")</f>
        <v/>
      </c>
    </row>
    <row r="576">
      <c r="A576" s="2" t="n">
        <v>575</v>
      </c>
      <c r="B576" s="2" t="inlineStr">
        <is>
          <t>1166</t>
        </is>
      </c>
      <c r="C576" s="2" t="inlineStr">
        <is>
          <t>JGT MUÑECA X1 EN BOLSA GRANDE</t>
        </is>
      </c>
      <c r="D576" s="2" t="inlineStr">
        <is>
          <t>Juguetes y Juegos</t>
        </is>
      </c>
      <c r="E576" s="2" t="inlineStr">
        <is>
          <t>Juguetes</t>
        </is>
      </c>
      <c r="F576" s="2" t="inlineStr">
        <is>
          <t>Juguetes Variados</t>
        </is>
      </c>
      <c r="G576" s="3" t="n">
        <v>188.1</v>
      </c>
      <c r="H576" s="4" t="n">
        <v>19</v>
      </c>
      <c r="I576" s="2" t="n">
        <v>15</v>
      </c>
      <c r="J576" s="5" t="n">
        <v>46168</v>
      </c>
      <c r="K576" s="3" t="n">
        <v>9.9</v>
      </c>
      <c r="L576" s="6" t="inlineStr"/>
      <c r="M576" s="7">
        <f>IF(L576&gt;0,(K576-L576)/K576*100,"")</f>
        <v/>
      </c>
    </row>
    <row r="577">
      <c r="A577" t="n">
        <v>576</v>
      </c>
      <c r="B577" t="inlineStr">
        <is>
          <t>360234</t>
        </is>
      </c>
      <c r="C577" t="inlineStr">
        <is>
          <t>ME TOO MAGNETIC EDT 50ML</t>
        </is>
      </c>
      <c r="D577" t="inlineStr">
        <is>
          <t>Belleza</t>
        </is>
      </c>
      <c r="E577" t="inlineStr">
        <is>
          <t>Perfumes y Fragancias</t>
        </is>
      </c>
      <c r="F577" t="inlineStr">
        <is>
          <t>Perfumes para Hombre</t>
        </is>
      </c>
      <c r="G577" s="8" t="n">
        <v>187.7</v>
      </c>
      <c r="H577" s="9" t="n">
        <v>11</v>
      </c>
      <c r="I577" t="n">
        <v>11</v>
      </c>
      <c r="J577" s="10" t="n">
        <v>46175</v>
      </c>
      <c r="K577" s="8" t="n">
        <v>17.06</v>
      </c>
      <c r="L577" s="6" t="inlineStr"/>
      <c r="M577" s="7">
        <f>IF(L577&gt;0,(K577-L577)/K577*100,"")</f>
        <v/>
      </c>
    </row>
    <row r="578">
      <c r="A578" s="2" t="n">
        <v>577</v>
      </c>
      <c r="B578" s="2" t="inlineStr">
        <is>
          <t>NEW149B-NEW149D</t>
        </is>
      </c>
      <c r="C578" s="2" t="inlineStr">
        <is>
          <t>JGT MUÑECA BEBE GORDA + GORRA</t>
        </is>
      </c>
      <c r="D578" s="2" t="inlineStr">
        <is>
          <t>Juguetes y Juegos</t>
        </is>
      </c>
      <c r="E578" s="2" t="inlineStr">
        <is>
          <t>Juguetes</t>
        </is>
      </c>
      <c r="F578" s="2" t="inlineStr">
        <is>
          <t>Juguetes Variados</t>
        </is>
      </c>
      <c r="G578" s="3" t="n">
        <v>187.6</v>
      </c>
      <c r="H578" s="4" t="n">
        <v>4</v>
      </c>
      <c r="I578" s="2" t="n">
        <v>4</v>
      </c>
      <c r="J578" s="5" t="n">
        <v>46165</v>
      </c>
      <c r="K578" s="3" t="n">
        <v>46.9</v>
      </c>
      <c r="L578" s="6" t="inlineStr"/>
      <c r="M578" s="7">
        <f>IF(L578&gt;0,(K578-L578)/K578*100,"")</f>
        <v/>
      </c>
    </row>
    <row r="579">
      <c r="A579" t="n">
        <v>578</v>
      </c>
      <c r="B579" t="inlineStr">
        <is>
          <t>JA-PR</t>
        </is>
      </c>
      <c r="C579" t="inlineStr">
        <is>
          <t>Jabón Líquido Aval Petalos de Rosas 400ML</t>
        </is>
      </c>
      <c r="D579" t="inlineStr">
        <is>
          <t>Cuidado Personal y Salud</t>
        </is>
      </c>
      <c r="E579" t="inlineStr">
        <is>
          <t>Higiene Personal</t>
        </is>
      </c>
      <c r="F579" t="inlineStr">
        <is>
          <t>Jabones Liquido para Manos</t>
        </is>
      </c>
      <c r="G579" s="8" t="n">
        <v>185.5</v>
      </c>
      <c r="H579" s="9" t="n">
        <v>35</v>
      </c>
      <c r="I579" t="n">
        <v>30</v>
      </c>
      <c r="J579" s="10" t="n">
        <v>46123</v>
      </c>
      <c r="K579" s="8" t="n">
        <v>5.3</v>
      </c>
      <c r="L579" s="6" t="inlineStr"/>
      <c r="M579" s="7">
        <f>IF(L579&gt;0,(K579-L579)/K579*100,"")</f>
        <v/>
      </c>
    </row>
    <row r="580">
      <c r="A580" s="2" t="n">
        <v>579</v>
      </c>
      <c r="B580" s="2" t="inlineStr">
        <is>
          <t>JA-FR</t>
        </is>
      </c>
      <c r="C580" s="2" t="inlineStr">
        <is>
          <t>Jabón Líquido Aval antibacterial Frutos Rojos 400ML</t>
        </is>
      </c>
      <c r="D580" s="2" t="inlineStr">
        <is>
          <t>Cuidado Personal y Salud</t>
        </is>
      </c>
      <c r="E580" s="2" t="inlineStr">
        <is>
          <t>Higiene Personal</t>
        </is>
      </c>
      <c r="F580" s="2" t="inlineStr">
        <is>
          <t>Jabones Liquido para Manos</t>
        </is>
      </c>
      <c r="G580" s="3" t="n">
        <v>185.5</v>
      </c>
      <c r="H580" s="4" t="n">
        <v>35</v>
      </c>
      <c r="I580" s="2" t="n">
        <v>33</v>
      </c>
      <c r="J580" s="5" t="n">
        <v>46115</v>
      </c>
      <c r="K580" s="3" t="n">
        <v>5.3</v>
      </c>
      <c r="L580" s="6" t="inlineStr"/>
      <c r="M580" s="7">
        <f>IF(L580&gt;0,(K580-L580)/K580*100,"")</f>
        <v/>
      </c>
    </row>
    <row r="581">
      <c r="A581" t="n">
        <v>580</v>
      </c>
      <c r="B581" t="inlineStr">
        <is>
          <t>JA-PC</t>
        </is>
      </c>
      <c r="C581" t="inlineStr">
        <is>
          <t>Jabón Líquido Aval antibacterial Pasion Citrica 400ML</t>
        </is>
      </c>
      <c r="D581" t="inlineStr">
        <is>
          <t>Cuidado Personal y Salud</t>
        </is>
      </c>
      <c r="E581" t="inlineStr">
        <is>
          <t>Higiene Personal</t>
        </is>
      </c>
      <c r="F581" t="inlineStr">
        <is>
          <t>Jabones Liquido para Manos</t>
        </is>
      </c>
      <c r="G581" s="8" t="n">
        <v>185.5</v>
      </c>
      <c r="H581" s="9" t="n">
        <v>35</v>
      </c>
      <c r="I581" t="n">
        <v>29</v>
      </c>
      <c r="J581" s="10" t="n">
        <v>46124</v>
      </c>
      <c r="K581" s="8" t="n">
        <v>5.3</v>
      </c>
      <c r="L581" s="6" t="inlineStr"/>
      <c r="M581" s="7">
        <f>IF(L581&gt;0,(K581-L581)/K581*100,"")</f>
        <v/>
      </c>
    </row>
    <row r="582">
      <c r="A582" s="2" t="n">
        <v>581</v>
      </c>
      <c r="B582" s="2" t="inlineStr">
        <is>
          <t>AGD-170</t>
        </is>
      </c>
      <c r="C582" s="2" t="inlineStr">
        <is>
          <t>POWER EYES</t>
        </is>
      </c>
      <c r="D582" s="2" t="inlineStr">
        <is>
          <t>Belleza</t>
        </is>
      </c>
      <c r="E582" s="2" t="inlineStr">
        <is>
          <t>Maquillaje y Cosméticos</t>
        </is>
      </c>
      <c r="F582" s="2" t="inlineStr">
        <is>
          <t>Sombras de Ojos</t>
        </is>
      </c>
      <c r="G582" s="3" t="n">
        <v>182.9</v>
      </c>
      <c r="H582" s="4" t="n">
        <v>31</v>
      </c>
      <c r="I582" s="2" t="n">
        <v>31</v>
      </c>
      <c r="J582" s="5" t="n">
        <v>46175</v>
      </c>
      <c r="K582" s="3" t="n">
        <v>5.9</v>
      </c>
      <c r="L582" s="6" t="inlineStr"/>
      <c r="M582" s="7">
        <f>IF(L582&gt;0,(K582-L582)/K582*100,"")</f>
        <v/>
      </c>
    </row>
    <row r="583">
      <c r="A583" t="n">
        <v>582</v>
      </c>
      <c r="B583" t="inlineStr">
        <is>
          <t>GEL-A1</t>
        </is>
      </c>
      <c r="C583" t="inlineStr">
        <is>
          <t>EXTRA SUAVE GEL</t>
        </is>
      </c>
      <c r="D583" t="inlineStr">
        <is>
          <t>Cuidado Personal y Salud</t>
        </is>
      </c>
      <c r="E583" t="inlineStr">
        <is>
          <t>Cuidado del Cabello</t>
        </is>
      </c>
      <c r="F583" t="inlineStr">
        <is>
          <t>Gel de Cabello y Estilizadores</t>
        </is>
      </c>
      <c r="G583" s="8" t="n">
        <v>182.9</v>
      </c>
      <c r="H583" s="9" t="n">
        <v>31</v>
      </c>
      <c r="I583" t="n">
        <v>28</v>
      </c>
      <c r="J583" s="10" t="n">
        <v>46118</v>
      </c>
      <c r="K583" s="8" t="n">
        <v>5.9</v>
      </c>
      <c r="L583" s="6" t="inlineStr"/>
      <c r="M583" s="7">
        <f>IF(L583&gt;0,(K583-L583)/K583*100,"")</f>
        <v/>
      </c>
    </row>
    <row r="584">
      <c r="A584" s="2" t="n">
        <v>583</v>
      </c>
      <c r="B584" s="2" t="inlineStr">
        <is>
          <t>76106757729673</t>
        </is>
      </c>
      <c r="C584" s="2" t="inlineStr">
        <is>
          <t>BOLAS DE CHOCOLATE SABOR ORIGINAL 30</t>
        </is>
      </c>
      <c r="D584" s="2" t="inlineStr">
        <is>
          <t>Alimentos y Bebidas Importadas</t>
        </is>
      </c>
      <c r="E584" s="2" t="inlineStr">
        <is>
          <t>Snacks y Dulces Asiáticos</t>
        </is>
      </c>
      <c r="F584" s="2" t="inlineStr">
        <is>
          <t>Chocolates y Pasteles</t>
        </is>
      </c>
      <c r="G584" s="3" t="n">
        <v>180.6</v>
      </c>
      <c r="H584" s="4" t="n">
        <v>14</v>
      </c>
      <c r="I584" s="2" t="n">
        <v>13</v>
      </c>
      <c r="J584" s="5" t="n">
        <v>46099</v>
      </c>
      <c r="K584" s="3" t="n">
        <v>12.9</v>
      </c>
      <c r="L584" s="6" t="inlineStr"/>
      <c r="M584" s="7">
        <f>IF(L584&gt;0,(K584-L584)/K584*100,"")</f>
        <v/>
      </c>
    </row>
    <row r="585">
      <c r="A585" t="n">
        <v>584</v>
      </c>
      <c r="B585" t="inlineStr">
        <is>
          <t>JA-MV</t>
        </is>
      </c>
      <c r="C585" t="inlineStr">
        <is>
          <t>Jabón Líquido Aval antibacterial Magia Vainilla 400ML</t>
        </is>
      </c>
      <c r="D585" t="inlineStr">
        <is>
          <t>Cuidado Personal y Salud</t>
        </is>
      </c>
      <c r="E585" t="inlineStr">
        <is>
          <t>Higiene Personal</t>
        </is>
      </c>
      <c r="F585" t="inlineStr">
        <is>
          <t>Jabones Liquido para Manos</t>
        </is>
      </c>
      <c r="G585" s="8" t="n">
        <v>180.2</v>
      </c>
      <c r="H585" s="9" t="n">
        <v>34</v>
      </c>
      <c r="I585" t="n">
        <v>33</v>
      </c>
      <c r="J585" s="10" t="n">
        <v>46120</v>
      </c>
      <c r="K585" s="8" t="n">
        <v>5.3</v>
      </c>
      <c r="L585" s="6" t="inlineStr"/>
      <c r="M585" s="7">
        <f>IF(L585&gt;0,(K585-L585)/K585*100,"")</f>
        <v/>
      </c>
    </row>
    <row r="586">
      <c r="A586" s="2" t="n">
        <v>585</v>
      </c>
      <c r="B586" s="2" t="inlineStr">
        <is>
          <t>75755617755581</t>
        </is>
      </c>
      <c r="C586" s="2" t="inlineStr">
        <is>
          <t>Bebida Frutado de Cereza Baolisu Lata 18</t>
        </is>
      </c>
      <c r="D586" s="2" t="inlineStr">
        <is>
          <t>Alimentos y Bebidas Importadas</t>
        </is>
      </c>
      <c r="E586" s="2" t="inlineStr">
        <is>
          <t>Bebidas Asiáticas</t>
        </is>
      </c>
      <c r="F586" s="2" t="inlineStr">
        <is>
          <t>Jugo y Nata de Coco</t>
        </is>
      </c>
      <c r="G586" s="3" t="n">
        <v>175.5</v>
      </c>
      <c r="H586" s="4" t="n">
        <v>45</v>
      </c>
      <c r="I586" s="2" t="n">
        <v>41</v>
      </c>
      <c r="J586" s="5" t="n">
        <v>46145</v>
      </c>
      <c r="K586" s="3" t="n">
        <v>3.9</v>
      </c>
      <c r="L586" s="6" t="inlineStr"/>
      <c r="M586" s="7">
        <f>IF(L586&gt;0,(K586-L586)/K586*100,"")</f>
        <v/>
      </c>
    </row>
    <row r="587">
      <c r="A587" t="n">
        <v>586</v>
      </c>
      <c r="B587" t="inlineStr">
        <is>
          <t>75755617746898</t>
        </is>
      </c>
      <c r="C587" t="inlineStr">
        <is>
          <t>Bebida Frutado de Durazno Baolisu Lata 1</t>
        </is>
      </c>
      <c r="D587" t="inlineStr">
        <is>
          <t>Alimentos y Bebidas Importadas</t>
        </is>
      </c>
      <c r="E587" t="inlineStr">
        <is>
          <t>Bebidas Asiáticas</t>
        </is>
      </c>
      <c r="F587" t="inlineStr">
        <is>
          <t>Jugo y Nata de Coco</t>
        </is>
      </c>
      <c r="G587" s="8" t="n">
        <v>175.5</v>
      </c>
      <c r="H587" s="9" t="n">
        <v>45</v>
      </c>
      <c r="I587" t="n">
        <v>40</v>
      </c>
      <c r="J587" s="10" t="n">
        <v>46145</v>
      </c>
      <c r="K587" s="8" t="n">
        <v>3.9</v>
      </c>
      <c r="L587" s="6" t="inlineStr"/>
      <c r="M587" s="7">
        <f>IF(L587&gt;0,(K587-L587)/K587*100,"")</f>
        <v/>
      </c>
    </row>
    <row r="588">
      <c r="A588" s="2" t="n">
        <v>587</v>
      </c>
      <c r="B588" s="2" t="inlineStr">
        <is>
          <t>RR0368</t>
        </is>
      </c>
      <c r="C588" s="2" t="inlineStr">
        <is>
          <t>GLOBO RIFA</t>
        </is>
      </c>
      <c r="D588" s="2" t="inlineStr">
        <is>
          <t>Fiestas y Cumpleaños</t>
        </is>
      </c>
      <c r="E588" s="2" t="inlineStr">
        <is>
          <t>Cumpleaños</t>
        </is>
      </c>
      <c r="F588" s="2" t="inlineStr">
        <is>
          <t>Globos e Infladores</t>
        </is>
      </c>
      <c r="G588" s="3" t="n">
        <v>175.5</v>
      </c>
      <c r="H588" s="4" t="n">
        <v>27</v>
      </c>
      <c r="I588" s="2" t="n">
        <v>22</v>
      </c>
      <c r="J588" s="5" t="n">
        <v>46159</v>
      </c>
      <c r="K588" s="3" t="n">
        <v>6.5</v>
      </c>
      <c r="L588" s="6" t="inlineStr"/>
      <c r="M588" s="7">
        <f>IF(L588&gt;0,(K588-L588)/K588*100,"")</f>
        <v/>
      </c>
    </row>
    <row r="589">
      <c r="A589" t="n">
        <v>588</v>
      </c>
      <c r="B589" t="inlineStr">
        <is>
          <t>MER-1527</t>
        </is>
      </c>
      <c r="C589" t="inlineStr">
        <is>
          <t>FORRO FACIL MERCYFAN</t>
        </is>
      </c>
      <c r="D589" t="inlineStr">
        <is>
          <t>Librería y Oficina</t>
        </is>
      </c>
      <c r="E589" t="inlineStr">
        <is>
          <t>Útiles Escolares</t>
        </is>
      </c>
      <c r="F589" t="inlineStr">
        <is>
          <t>Forros para Cuadernos</t>
        </is>
      </c>
      <c r="G589" s="8" t="n">
        <v>171.95</v>
      </c>
      <c r="H589" s="9" t="n">
        <v>19</v>
      </c>
      <c r="I589" t="n">
        <v>11</v>
      </c>
      <c r="J589" s="10" t="n">
        <v>46093</v>
      </c>
      <c r="K589" s="8" t="n">
        <v>9.24</v>
      </c>
      <c r="L589" s="6" t="inlineStr"/>
      <c r="M589" s="7">
        <f>IF(L589&gt;0,(K589-L589)/K589*100,"")</f>
        <v/>
      </c>
    </row>
    <row r="590">
      <c r="A590" s="2" t="n">
        <v>589</v>
      </c>
      <c r="B590" s="2" t="inlineStr">
        <is>
          <t>KD-3137</t>
        </is>
      </c>
      <c r="C590" s="2" t="inlineStr">
        <is>
          <t>SET GANCHO X6</t>
        </is>
      </c>
      <c r="D590" s="2" t="inlineStr">
        <is>
          <t>Hogar y Decoración</t>
        </is>
      </c>
      <c r="E590" s="2" t="inlineStr">
        <is>
          <t>Organización del Hogar</t>
        </is>
      </c>
      <c r="F590" s="2" t="inlineStr">
        <is>
          <t>Percheros y Colgadores</t>
        </is>
      </c>
      <c r="G590" s="3" t="n">
        <v>171.5</v>
      </c>
      <c r="H590" s="4" t="n">
        <v>49</v>
      </c>
      <c r="I590" s="2" t="n">
        <v>41</v>
      </c>
      <c r="J590" s="5" t="n">
        <v>46151</v>
      </c>
      <c r="K590" s="3" t="n">
        <v>3.5</v>
      </c>
      <c r="L590" s="6" t="inlineStr"/>
      <c r="M590" s="7">
        <f>IF(L590&gt;0,(K590-L590)/K590*100,"")</f>
        <v/>
      </c>
    </row>
    <row r="591">
      <c r="A591" t="n">
        <v>590</v>
      </c>
      <c r="B591" t="inlineStr">
        <is>
          <t>702383</t>
        </is>
      </c>
      <c r="C591" t="inlineStr">
        <is>
          <t>21 SCOOL TAPER CDRD 230ML DRAGON</t>
        </is>
      </c>
      <c r="D591" t="inlineStr">
        <is>
          <t>Librería y Oficina</t>
        </is>
      </c>
      <c r="E591" t="inlineStr">
        <is>
          <t>Loncheras y Taperes Escolares</t>
        </is>
      </c>
      <c r="F591" t="inlineStr">
        <is>
          <t>Taperes Escolares</t>
        </is>
      </c>
      <c r="G591" s="8" t="n">
        <v>171.1</v>
      </c>
      <c r="H591" s="9" t="n">
        <v>35</v>
      </c>
      <c r="I591" t="n">
        <v>30</v>
      </c>
      <c r="J591" s="10" t="n">
        <v>46101</v>
      </c>
      <c r="K591" s="8" t="n">
        <v>4.89</v>
      </c>
      <c r="L591" s="6" t="inlineStr"/>
      <c r="M591" s="7">
        <f>IF(L591&gt;0,(K591-L591)/K591*100,"")</f>
        <v/>
      </c>
    </row>
    <row r="592">
      <c r="A592" s="2" t="n">
        <v>591</v>
      </c>
      <c r="B592" s="2" t="inlineStr">
        <is>
          <t>75755617807870</t>
        </is>
      </c>
      <c r="C592" s="2" t="inlineStr">
        <is>
          <t>Marshmello Rell C/Crema De Uva 100G</t>
        </is>
      </c>
      <c r="D592" s="2" t="inlineStr">
        <is>
          <t>Alimentos y Bebidas Importadas</t>
        </is>
      </c>
      <c r="E592" s="2" t="inlineStr">
        <is>
          <t>Snacks y Dulces Asiáticos</t>
        </is>
      </c>
      <c r="F592" s="2" t="inlineStr">
        <is>
          <t>Malvaviscos (Marshmallows)</t>
        </is>
      </c>
      <c r="G592" s="3" t="n">
        <v>171.1</v>
      </c>
      <c r="H592" s="4" t="n">
        <v>29</v>
      </c>
      <c r="I592" s="2" t="n">
        <v>29</v>
      </c>
      <c r="J592" s="5" t="n">
        <v>46103</v>
      </c>
      <c r="K592" s="3" t="n">
        <v>5.9</v>
      </c>
      <c r="L592" s="6" t="inlineStr"/>
      <c r="M592" s="7">
        <f>IF(L592&gt;0,(K592-L592)/K592*100,"")</f>
        <v/>
      </c>
    </row>
    <row r="593">
      <c r="A593" t="n">
        <v>592</v>
      </c>
      <c r="B593" t="inlineStr">
        <is>
          <t>804689</t>
        </is>
      </c>
      <c r="C593" t="inlineStr">
        <is>
          <t>25 SCOOL RANGER SET MOCH A4 2 BOL EVA 3D JURASSIC</t>
        </is>
      </c>
      <c r="D593" t="inlineStr">
        <is>
          <t>Librería y Oficina</t>
        </is>
      </c>
      <c r="E593" t="inlineStr">
        <is>
          <t>Mochilas y Cartucheras</t>
        </is>
      </c>
      <c r="F593" t="inlineStr">
        <is>
          <t>Mochilas Escolares</t>
        </is>
      </c>
      <c r="G593" s="8" t="n">
        <v>171</v>
      </c>
      <c r="H593" s="9" t="n">
        <v>2</v>
      </c>
      <c r="I593" t="n">
        <v>2</v>
      </c>
      <c r="J593" s="10" t="n">
        <v>46096</v>
      </c>
      <c r="K593" s="8" t="n">
        <v>85.5</v>
      </c>
      <c r="L593" s="6" t="inlineStr"/>
      <c r="M593" s="7">
        <f>IF(L593&gt;0,(K593-L593)/K593*100,"")</f>
        <v/>
      </c>
    </row>
    <row r="594">
      <c r="A594" s="2" t="n">
        <v>593</v>
      </c>
      <c r="B594" s="2" t="inlineStr">
        <is>
          <t>AGL-500</t>
        </is>
      </c>
      <c r="C594" s="2" t="inlineStr">
        <is>
          <t>MISTICA GLOSS IP MÁGICO</t>
        </is>
      </c>
      <c r="D594" s="2" t="inlineStr">
        <is>
          <t>Belleza</t>
        </is>
      </c>
      <c r="E594" s="2" t="inlineStr">
        <is>
          <t>Maquillaje y Cosméticos</t>
        </is>
      </c>
      <c r="F594" s="2" t="inlineStr">
        <is>
          <t>Labial Gloss</t>
        </is>
      </c>
      <c r="G594" s="3" t="n">
        <v>168.3</v>
      </c>
      <c r="H594" s="4" t="n">
        <v>17</v>
      </c>
      <c r="I594" s="2" t="n">
        <v>15</v>
      </c>
      <c r="J594" s="5" t="n">
        <v>46170</v>
      </c>
      <c r="K594" s="3" t="n">
        <v>9.9</v>
      </c>
      <c r="L594" s="6" t="inlineStr"/>
      <c r="M594" s="7">
        <f>IF(L594&gt;0,(K594-L594)/K594*100,"")</f>
        <v/>
      </c>
    </row>
    <row r="595">
      <c r="A595" t="n">
        <v>594</v>
      </c>
      <c r="B595" t="inlineStr">
        <is>
          <t>76063288119467</t>
        </is>
      </c>
      <c r="C595" t="inlineStr">
        <is>
          <t>Gomitas Trululu con feroz Acidos 80gr</t>
        </is>
      </c>
      <c r="D595" t="inlineStr">
        <is>
          <t>Abarrotes</t>
        </is>
      </c>
      <c r="E595" t="inlineStr">
        <is>
          <t>Dulces y Chocolates</t>
        </is>
      </c>
      <c r="F595" t="inlineStr">
        <is>
          <t>Gomitas</t>
        </is>
      </c>
      <c r="G595" s="8" t="n">
        <v>167.5</v>
      </c>
      <c r="H595" s="9" t="n">
        <v>67</v>
      </c>
      <c r="I595" t="n">
        <v>65</v>
      </c>
      <c r="J595" s="10" t="n">
        <v>46132</v>
      </c>
      <c r="K595" s="8" t="n">
        <v>2.5</v>
      </c>
      <c r="L595" s="6" t="inlineStr"/>
      <c r="M595" s="7">
        <f>IF(L595&gt;0,(K595-L595)/K595*100,"")</f>
        <v/>
      </c>
    </row>
    <row r="596">
      <c r="A596" s="2" t="n">
        <v>595</v>
      </c>
      <c r="B596" s="2" t="inlineStr">
        <is>
          <t>MS-3087</t>
        </is>
      </c>
      <c r="C596" s="2" t="inlineStr">
        <is>
          <t>Joyero kawai</t>
        </is>
      </c>
      <c r="D596" s="2" t="inlineStr">
        <is>
          <t>Accesorios</t>
        </is>
      </c>
      <c r="E596" s="2" t="inlineStr">
        <is>
          <t>Joyería y Bisutería</t>
        </is>
      </c>
      <c r="F596" s="2" t="inlineStr">
        <is>
          <t>Joyeros</t>
        </is>
      </c>
      <c r="G596" s="3" t="n">
        <v>166.7</v>
      </c>
      <c r="H596" s="4" t="n">
        <v>19</v>
      </c>
      <c r="I596" s="2" t="n">
        <v>13</v>
      </c>
      <c r="J596" s="5" t="n">
        <v>46097</v>
      </c>
      <c r="K596" s="3" t="n">
        <v>8.789999999999999</v>
      </c>
      <c r="L596" s="6" t="inlineStr"/>
      <c r="M596" s="7">
        <f>IF(L596&gt;0,(K596-L596)/K596*100,"")</f>
        <v/>
      </c>
    </row>
    <row r="597">
      <c r="A597" t="n">
        <v>596</v>
      </c>
      <c r="B597" t="inlineStr">
        <is>
          <t>AGL-400</t>
        </is>
      </c>
      <c r="C597" t="inlineStr">
        <is>
          <t>LABIAL EN BARRA TROPICAL JARUSA</t>
        </is>
      </c>
      <c r="D597" t="inlineStr">
        <is>
          <t>Belleza</t>
        </is>
      </c>
      <c r="E597" t="inlineStr">
        <is>
          <t>Maquillaje y Cosméticos</t>
        </is>
      </c>
      <c r="F597" t="inlineStr">
        <is>
          <t>Labial</t>
        </is>
      </c>
      <c r="G597" s="8" t="n">
        <v>165</v>
      </c>
      <c r="H597" s="9" t="n">
        <v>30</v>
      </c>
      <c r="I597" t="n">
        <v>29</v>
      </c>
      <c r="J597" s="10" t="n">
        <v>46178</v>
      </c>
      <c r="K597" s="8" t="n">
        <v>5.5</v>
      </c>
      <c r="L597" s="6" t="inlineStr"/>
      <c r="M597" s="7">
        <f>IF(L597&gt;0,(K597-L597)/K597*100,"")</f>
        <v/>
      </c>
    </row>
    <row r="598">
      <c r="A598" s="2" t="n">
        <v>597</v>
      </c>
      <c r="B598" s="2" t="inlineStr">
        <is>
          <t>8809467122179</t>
        </is>
      </c>
      <c r="C598" s="2" t="inlineStr">
        <is>
          <t>BEBIDA FRUTADA CON DE FRESA BAOLISU 3</t>
        </is>
      </c>
      <c r="D598" s="2" t="inlineStr">
        <is>
          <t>Alimentos y Bebidas Importadas</t>
        </is>
      </c>
      <c r="E598" s="2" t="inlineStr">
        <is>
          <t>Bebidas Asiáticas</t>
        </is>
      </c>
      <c r="F598" s="2" t="inlineStr">
        <is>
          <t>Jugo y Nata de Coco</t>
        </is>
      </c>
      <c r="G598" s="3" t="n">
        <v>165</v>
      </c>
      <c r="H598" s="4" t="n">
        <v>30</v>
      </c>
      <c r="I598" s="2" t="n">
        <v>30</v>
      </c>
      <c r="J598" s="5" t="n">
        <v>46145</v>
      </c>
      <c r="K598" s="3" t="n">
        <v>5.5</v>
      </c>
      <c r="L598" s="6" t="inlineStr"/>
      <c r="M598" s="7">
        <f>IF(L598&gt;0,(K598-L598)/K598*100,"")</f>
        <v/>
      </c>
    </row>
    <row r="599">
      <c r="A599" t="n">
        <v>598</v>
      </c>
      <c r="B599" t="inlineStr">
        <is>
          <t>8809467121691</t>
        </is>
      </c>
      <c r="C599" t="inlineStr">
        <is>
          <t>Bebida con Nata de Coco Lychee Baolisu 3</t>
        </is>
      </c>
      <c r="D599" t="inlineStr">
        <is>
          <t>Alimentos y Bebidas Importadas</t>
        </is>
      </c>
      <c r="E599" t="inlineStr">
        <is>
          <t>Bebidas Asiáticas</t>
        </is>
      </c>
      <c r="F599" t="inlineStr">
        <is>
          <t>Jugo y Nata de Coco</t>
        </is>
      </c>
      <c r="G599" s="8" t="n">
        <v>165</v>
      </c>
      <c r="H599" s="9" t="n">
        <v>30</v>
      </c>
      <c r="I599" t="n">
        <v>30</v>
      </c>
      <c r="J599" s="10" t="n">
        <v>46148</v>
      </c>
      <c r="K599" s="8" t="n">
        <v>5.5</v>
      </c>
      <c r="L599" s="6" t="inlineStr"/>
      <c r="M599" s="7">
        <f>IF(L599&gt;0,(K599-L599)/K599*100,"")</f>
        <v/>
      </c>
    </row>
    <row r="600">
      <c r="A600" s="2" t="n">
        <v>599</v>
      </c>
      <c r="B600" s="2" t="inlineStr">
        <is>
          <t>8809467122094</t>
        </is>
      </c>
      <c r="C600" s="2" t="inlineStr">
        <is>
          <t>Bebida Nata de Coco Maracuya Baolisu 300</t>
        </is>
      </c>
      <c r="D600" s="2" t="inlineStr">
        <is>
          <t>Alimentos y Bebidas Importadas</t>
        </is>
      </c>
      <c r="E600" s="2" t="inlineStr">
        <is>
          <t>Bebidas Asiáticas</t>
        </is>
      </c>
      <c r="F600" s="2" t="inlineStr">
        <is>
          <t>Jugo y Nata de Coco</t>
        </is>
      </c>
      <c r="G600" s="3" t="n">
        <v>165</v>
      </c>
      <c r="H600" s="4" t="n">
        <v>30</v>
      </c>
      <c r="I600" s="2" t="n">
        <v>29</v>
      </c>
      <c r="J600" s="5" t="n">
        <v>46151</v>
      </c>
      <c r="K600" s="3" t="n">
        <v>5.5</v>
      </c>
      <c r="L600" s="6" t="inlineStr"/>
      <c r="M600" s="7">
        <f>IF(L600&gt;0,(K600-L600)/K600*100,"")</f>
        <v/>
      </c>
    </row>
    <row r="601">
      <c r="A601" t="n">
        <v>600</v>
      </c>
      <c r="B601" t="inlineStr">
        <is>
          <t>21508</t>
        </is>
      </c>
      <c r="C601" t="inlineStr">
        <is>
          <t>AQUA UVA Y ARÁNDANOS JABÓN EN BARRA ANTIBACTERIAL 75G</t>
        </is>
      </c>
      <c r="D601" t="inlineStr">
        <is>
          <t>Cuidado Personal y Salud</t>
        </is>
      </c>
      <c r="E601" t="inlineStr">
        <is>
          <t>Higiene Personal</t>
        </is>
      </c>
      <c r="F601" t="inlineStr">
        <is>
          <t>Jabones Corporales</t>
        </is>
      </c>
      <c r="G601" s="8" t="n">
        <v>159.6</v>
      </c>
      <c r="H601" s="9" t="n">
        <v>133</v>
      </c>
      <c r="I601" t="n">
        <v>112</v>
      </c>
      <c r="J601" s="10" t="n">
        <v>46178</v>
      </c>
      <c r="K601" s="8" t="n">
        <v>1.2</v>
      </c>
      <c r="L601" s="6" t="inlineStr"/>
      <c r="M601" s="7">
        <f>IF(L601&gt;0,(K601-L601)/K601*100,"")</f>
        <v/>
      </c>
    </row>
    <row r="602">
      <c r="A602" s="2" t="n">
        <v>601</v>
      </c>
      <c r="B602" s="2" t="inlineStr">
        <is>
          <t>76203884667926</t>
        </is>
      </c>
      <c r="C602" s="2" t="inlineStr">
        <is>
          <t>Gomitas Ambrosoli Gusanos Acido</t>
        </is>
      </c>
      <c r="D602" s="2" t="inlineStr">
        <is>
          <t>Abarrotes</t>
        </is>
      </c>
      <c r="E602" s="2" t="inlineStr">
        <is>
          <t>Dulces y Chocolates</t>
        </is>
      </c>
      <c r="F602" s="2" t="inlineStr">
        <is>
          <t>Gomitas</t>
        </is>
      </c>
      <c r="G602" s="3" t="n">
        <v>157.5</v>
      </c>
      <c r="H602" s="4" t="n">
        <v>63</v>
      </c>
      <c r="I602" s="2" t="n">
        <v>61</v>
      </c>
      <c r="J602" s="5" t="n">
        <v>46145</v>
      </c>
      <c r="K602" s="3" t="n">
        <v>2.5</v>
      </c>
      <c r="L602" s="6" t="inlineStr"/>
      <c r="M602" s="7">
        <f>IF(L602&gt;0,(K602-L602)/K602*100,"")</f>
        <v/>
      </c>
    </row>
    <row r="603">
      <c r="A603" t="n">
        <v>602</v>
      </c>
      <c r="B603" t="inlineStr">
        <is>
          <t>7750885009836</t>
        </is>
      </c>
      <c r="C603" t="inlineStr">
        <is>
          <t>GOMITAS AMBROSTO DE 25G</t>
        </is>
      </c>
      <c r="D603" t="inlineStr">
        <is>
          <t>Abarrotes</t>
        </is>
      </c>
      <c r="E603" t="inlineStr">
        <is>
          <t>Dulces y Chocolates</t>
        </is>
      </c>
      <c r="F603" t="inlineStr">
        <is>
          <t>Gomitas</t>
        </is>
      </c>
      <c r="G603" s="8" t="n">
        <v>156.8</v>
      </c>
      <c r="H603" s="9" t="n">
        <v>196</v>
      </c>
      <c r="I603" t="n">
        <v>149</v>
      </c>
      <c r="J603" s="10" t="n">
        <v>46165</v>
      </c>
      <c r="K603" s="8" t="n">
        <v>0.8</v>
      </c>
      <c r="L603" s="6" t="inlineStr"/>
      <c r="M603" s="7">
        <f>IF(L603&gt;0,(K603-L603)/K603*100,"")</f>
        <v/>
      </c>
    </row>
    <row r="604">
      <c r="A604" s="2" t="n">
        <v>603</v>
      </c>
      <c r="B604" s="2" t="inlineStr">
        <is>
          <t>ESC-A1</t>
        </is>
      </c>
      <c r="C604" s="2" t="inlineStr">
        <is>
          <t>CUADERNO RAYADO LUXOR</t>
        </is>
      </c>
      <c r="D604" s="2" t="inlineStr">
        <is>
          <t>Librería y Oficina</t>
        </is>
      </c>
      <c r="E604" s="2" t="inlineStr">
        <is>
          <t>Útiles Escolares</t>
        </is>
      </c>
      <c r="F604" s="2" t="inlineStr">
        <is>
          <t>Cuadernos y Blocks</t>
        </is>
      </c>
      <c r="G604" s="3" t="n">
        <v>156.6</v>
      </c>
      <c r="H604" s="4" t="n">
        <v>54</v>
      </c>
      <c r="I604" s="2" t="n">
        <v>14</v>
      </c>
      <c r="J604" s="5" t="n">
        <v>46171</v>
      </c>
      <c r="K604" s="3" t="n">
        <v>2.9</v>
      </c>
      <c r="L604" s="6" t="inlineStr"/>
      <c r="M604" s="7">
        <f>IF(L604&gt;0,(K604-L604)/K604*100,"")</f>
        <v/>
      </c>
    </row>
    <row r="605">
      <c r="A605" t="n">
        <v>604</v>
      </c>
      <c r="B605" t="inlineStr">
        <is>
          <t>76203884629253</t>
        </is>
      </c>
      <c r="C605" t="inlineStr">
        <is>
          <t>Gomitas Ambrosoli Ambroreino</t>
        </is>
      </c>
      <c r="D605" t="inlineStr">
        <is>
          <t>Abarrotes</t>
        </is>
      </c>
      <c r="E605" t="inlineStr">
        <is>
          <t>Dulces y Chocolates</t>
        </is>
      </c>
      <c r="F605" t="inlineStr">
        <is>
          <t>Gomitas</t>
        </is>
      </c>
      <c r="G605" s="8" t="n">
        <v>155</v>
      </c>
      <c r="H605" s="9" t="n">
        <v>62</v>
      </c>
      <c r="I605" t="n">
        <v>61</v>
      </c>
      <c r="J605" s="10" t="n">
        <v>46166</v>
      </c>
      <c r="K605" s="8" t="n">
        <v>2.5</v>
      </c>
      <c r="L605" s="6" t="inlineStr"/>
      <c r="M605" s="7">
        <f>IF(L605&gt;0,(K605-L605)/K605*100,"")</f>
        <v/>
      </c>
    </row>
    <row r="606">
      <c r="A606" s="2" t="n">
        <v>605</v>
      </c>
      <c r="B606" s="2" t="inlineStr">
        <is>
          <t>76203884667669</t>
        </is>
      </c>
      <c r="C606" s="2" t="inlineStr">
        <is>
          <t>Gomitas Ambrosoli Gusanos</t>
        </is>
      </c>
      <c r="D606" s="2" t="inlineStr">
        <is>
          <t>Abarrotes</t>
        </is>
      </c>
      <c r="E606" s="2" t="inlineStr">
        <is>
          <t>Dulces y Chocolates</t>
        </is>
      </c>
      <c r="F606" s="2" t="inlineStr">
        <is>
          <t>Gomitas</t>
        </is>
      </c>
      <c r="G606" s="3" t="n">
        <v>155</v>
      </c>
      <c r="H606" s="4" t="n">
        <v>62</v>
      </c>
      <c r="I606" s="2" t="n">
        <v>61</v>
      </c>
      <c r="J606" s="5" t="n">
        <v>46167</v>
      </c>
      <c r="K606" s="3" t="n">
        <v>2.5</v>
      </c>
      <c r="L606" s="6" t="inlineStr"/>
      <c r="M606" s="7">
        <f>IF(L606&gt;0,(K606-L606)/K606*100,"")</f>
        <v/>
      </c>
    </row>
    <row r="607">
      <c r="A607" t="n">
        <v>606</v>
      </c>
      <c r="B607" t="inlineStr">
        <is>
          <t>PL-06</t>
        </is>
      </c>
      <c r="C607" t="inlineStr">
        <is>
          <t>FUENTE CEVICHERA CARAMELO</t>
        </is>
      </c>
      <c r="D607" t="inlineStr">
        <is>
          <t>Hogar y Decoración</t>
        </is>
      </c>
      <c r="E607" t="inlineStr">
        <is>
          <t>Menaje de Comedor</t>
        </is>
      </c>
      <c r="F607" t="inlineStr">
        <is>
          <t>Platos y Fuentes</t>
        </is>
      </c>
      <c r="G607" s="8" t="n">
        <v>154.7</v>
      </c>
      <c r="H607" s="9" t="n">
        <v>71</v>
      </c>
      <c r="I607" t="n">
        <v>17</v>
      </c>
      <c r="J607" s="10" t="n">
        <v>46150</v>
      </c>
      <c r="K607" s="8" t="n">
        <v>2.19</v>
      </c>
      <c r="L607" s="6" t="inlineStr"/>
      <c r="M607" s="7">
        <f>IF(L607&gt;0,(K607-L607)/K607*100,"")</f>
        <v/>
      </c>
    </row>
    <row r="608">
      <c r="A608" s="2" t="n">
        <v>607</v>
      </c>
      <c r="B608" s="2" t="inlineStr">
        <is>
          <t>704314</t>
        </is>
      </c>
      <c r="C608" s="2" t="inlineStr">
        <is>
          <t>25 SCOOL INV BOTELLA PP 590ML C/CAÑA KUROMI</t>
        </is>
      </c>
      <c r="D608" s="2" t="inlineStr">
        <is>
          <t>Librería y Oficina</t>
        </is>
      </c>
      <c r="E608" s="2" t="inlineStr">
        <is>
          <t>Loncheras y Taperes Escolares</t>
        </is>
      </c>
      <c r="F608" s="2" t="inlineStr">
        <is>
          <t>Botellas Escolares</t>
        </is>
      </c>
      <c r="G608" s="3" t="n">
        <v>154.7</v>
      </c>
      <c r="H608" s="4" t="n">
        <v>13</v>
      </c>
      <c r="I608" s="2" t="n">
        <v>13</v>
      </c>
      <c r="J608" s="5" t="n">
        <v>46097</v>
      </c>
      <c r="K608" s="3" t="n">
        <v>11.9</v>
      </c>
      <c r="L608" s="6" t="inlineStr"/>
      <c r="M608" s="7">
        <f>IF(L608&gt;0,(K608-L608)/K608*100,"")</f>
        <v/>
      </c>
    </row>
    <row r="609">
      <c r="A609" t="n">
        <v>608</v>
      </c>
      <c r="B609" t="inlineStr">
        <is>
          <t>77204702018330</t>
        </is>
      </c>
      <c r="C609" t="inlineStr">
        <is>
          <t>Caramelos Blandos de Leche Relleno de Mat</t>
        </is>
      </c>
      <c r="D609" t="inlineStr">
        <is>
          <t>Alimentos y Bebidas Importadas</t>
        </is>
      </c>
      <c r="E609" t="inlineStr">
        <is>
          <t>Snacks y Dulces Asiáticos</t>
        </is>
      </c>
      <c r="F609" t="inlineStr">
        <is>
          <t>Caramelos y Gomitas</t>
        </is>
      </c>
      <c r="G609" s="8" t="n">
        <v>154</v>
      </c>
      <c r="H609" s="9" t="n">
        <v>44</v>
      </c>
      <c r="I609" t="n">
        <v>43</v>
      </c>
      <c r="J609" s="10" t="n">
        <v>46100</v>
      </c>
      <c r="K609" s="8" t="n">
        <v>3.5</v>
      </c>
      <c r="L609" s="6" t="inlineStr"/>
      <c r="M609" s="7">
        <f>IF(L609&gt;0,(K609-L609)/K609*100,"")</f>
        <v/>
      </c>
    </row>
    <row r="610">
      <c r="A610" s="2" t="n">
        <v>609</v>
      </c>
      <c r="B610" s="2" t="inlineStr">
        <is>
          <t>MER-2150</t>
        </is>
      </c>
      <c r="C610" s="2" t="inlineStr">
        <is>
          <t>SET TIJERA NEGRA X3</t>
        </is>
      </c>
      <c r="D610" s="2" t="inlineStr">
        <is>
          <t>Librería y Oficina</t>
        </is>
      </c>
      <c r="E610" s="2" t="inlineStr">
        <is>
          <t>Útiles Escolares</t>
        </is>
      </c>
      <c r="F610" s="2" t="inlineStr">
        <is>
          <t>Tijeras y Reglas</t>
        </is>
      </c>
      <c r="G610" s="3" t="n">
        <v>153.9</v>
      </c>
      <c r="H610" s="4" t="n">
        <v>27</v>
      </c>
      <c r="I610" s="2" t="n">
        <v>27</v>
      </c>
      <c r="J610" s="5" t="n">
        <v>46094</v>
      </c>
      <c r="K610" s="3" t="n">
        <v>5.7</v>
      </c>
      <c r="L610" s="6" t="inlineStr"/>
      <c r="M610" s="7">
        <f>IF(L610&gt;0,(K610-L610)/K610*100,"")</f>
        <v/>
      </c>
    </row>
    <row r="611">
      <c r="A611" t="n">
        <v>610</v>
      </c>
      <c r="B611" t="inlineStr">
        <is>
          <t>75866770019445</t>
        </is>
      </c>
      <c r="C611" t="inlineStr">
        <is>
          <t>PALIT DGAL BAÑ  C/CREMA DE CHOC BLS/N</t>
        </is>
      </c>
      <c r="D611" t="inlineStr">
        <is>
          <t>Alimentos y Bebidas Importadas</t>
        </is>
      </c>
      <c r="E611" t="inlineStr">
        <is>
          <t>Snacks y Dulces Asiáticos</t>
        </is>
      </c>
      <c r="F611" t="inlineStr">
        <is>
          <t>Galletas y Bocaditos Dulces</t>
        </is>
      </c>
      <c r="G611" s="8" t="n">
        <v>153.4</v>
      </c>
      <c r="H611" s="9" t="n">
        <v>26</v>
      </c>
      <c r="I611" t="n">
        <v>26</v>
      </c>
      <c r="J611" s="10" t="n">
        <v>46127</v>
      </c>
      <c r="K611" s="8" t="n">
        <v>5.9</v>
      </c>
      <c r="L611" s="6" t="inlineStr"/>
      <c r="M611" s="7">
        <f>IF(L611&gt;0,(K611-L611)/K611*100,"")</f>
        <v/>
      </c>
    </row>
    <row r="612">
      <c r="A612" s="2" t="n">
        <v>611</v>
      </c>
      <c r="B612" s="2" t="inlineStr">
        <is>
          <t>804365</t>
        </is>
      </c>
      <c r="C612" s="2" t="inlineStr">
        <is>
          <t>25 SCOOL RANGER SET MALETA GDE EVA 3D HELLO KITTY A</t>
        </is>
      </c>
      <c r="D612" s="2" t="inlineStr">
        <is>
          <t>Librería y Oficina</t>
        </is>
      </c>
      <c r="E612" s="2" t="inlineStr">
        <is>
          <t>Mochilas y Cartucheras</t>
        </is>
      </c>
      <c r="F612" s="2" t="inlineStr">
        <is>
          <t>Mochilas Escolares</t>
        </is>
      </c>
      <c r="G612" s="3" t="n">
        <v>152.91</v>
      </c>
      <c r="H612" s="4" t="n">
        <v>1</v>
      </c>
      <c r="I612" s="2" t="n">
        <v>1</v>
      </c>
      <c r="J612" s="5" t="n">
        <v>46091</v>
      </c>
      <c r="K612" s="3" t="n">
        <v>152.91</v>
      </c>
      <c r="L612" s="6" t="inlineStr"/>
      <c r="M612" s="7">
        <f>IF(L612&gt;0,(K612-L612)/K612*100,"")</f>
        <v/>
      </c>
    </row>
    <row r="613">
      <c r="A613" t="n">
        <v>612</v>
      </c>
      <c r="B613" t="inlineStr">
        <is>
          <t>77240956603930</t>
        </is>
      </c>
      <c r="C613" t="inlineStr">
        <is>
          <t>Insecticida Sapolio Mata cucyhorm 360Ml</t>
        </is>
      </c>
      <c r="D613" t="inlineStr">
        <is>
          <t>Limpieza</t>
        </is>
      </c>
      <c r="E613" t="inlineStr">
        <is>
          <t>Limpiadores Específicos</t>
        </is>
      </c>
      <c r="F613" t="inlineStr">
        <is>
          <t>Insecticidas</t>
        </is>
      </c>
      <c r="G613" s="8" t="n">
        <v>151.3</v>
      </c>
      <c r="H613" s="9" t="n">
        <v>17</v>
      </c>
      <c r="I613" t="n">
        <v>16</v>
      </c>
      <c r="J613" s="10" t="n">
        <v>46101</v>
      </c>
      <c r="K613" s="8" t="n">
        <v>8.9</v>
      </c>
      <c r="L613" s="6" t="inlineStr"/>
      <c r="M613" s="7">
        <f>IF(L613&gt;0,(K613-L613)/K613*100,"")</f>
        <v/>
      </c>
    </row>
    <row r="614">
      <c r="A614" s="2" t="n">
        <v>613</v>
      </c>
      <c r="B614" s="2" t="inlineStr">
        <is>
          <t>MS-3302</t>
        </is>
      </c>
      <c r="C614" s="2" t="inlineStr">
        <is>
          <t>JGT SET PULSERAS PARA DECORAR</t>
        </is>
      </c>
      <c r="D614" s="2" t="inlineStr">
        <is>
          <t>Juguetes y Juegos</t>
        </is>
      </c>
      <c r="E614" s="2" t="inlineStr">
        <is>
          <t>Juguetes</t>
        </is>
      </c>
      <c r="F614" s="2" t="inlineStr">
        <is>
          <t>Juguetes Variados</t>
        </is>
      </c>
      <c r="G614" s="3" t="n">
        <v>151.2</v>
      </c>
      <c r="H614" s="4" t="n">
        <v>21</v>
      </c>
      <c r="I614" s="2" t="n">
        <v>21</v>
      </c>
      <c r="J614" s="5" t="n">
        <v>46169</v>
      </c>
      <c r="K614" s="3" t="n">
        <v>7.2</v>
      </c>
      <c r="L614" s="6" t="inlineStr"/>
      <c r="M614" s="7">
        <f>IF(L614&gt;0,(K614-L614)/K614*100,"")</f>
        <v/>
      </c>
    </row>
    <row r="615">
      <c r="A615" t="n">
        <v>614</v>
      </c>
      <c r="B615" t="inlineStr">
        <is>
          <t>400052</t>
        </is>
      </c>
      <c r="C615" t="inlineStr">
        <is>
          <t>TOMATODOSPORT</t>
        </is>
      </c>
      <c r="D615" t="inlineStr">
        <is>
          <t>Hogar y Decoración</t>
        </is>
      </c>
      <c r="E615" t="inlineStr">
        <is>
          <t>Menaje de Cocina</t>
        </is>
      </c>
      <c r="F615" t="inlineStr">
        <is>
          <t>Tomatodos y Botellas</t>
        </is>
      </c>
      <c r="G615" s="8" t="n">
        <v>150.45</v>
      </c>
      <c r="H615" s="9" t="n">
        <v>18</v>
      </c>
      <c r="I615" t="n">
        <v>16</v>
      </c>
      <c r="J615" s="10" t="n">
        <v>46096</v>
      </c>
      <c r="K615" s="8" t="n">
        <v>8.449999999999999</v>
      </c>
      <c r="L615" s="6" t="inlineStr"/>
      <c r="M615" s="7">
        <f>IF(L615&gt;0,(K615-L615)/K615*100,"")</f>
        <v/>
      </c>
    </row>
    <row r="616">
      <c r="A616" s="2" t="n">
        <v>615</v>
      </c>
      <c r="B616" s="2" t="inlineStr">
        <is>
          <t>LA-120353</t>
        </is>
      </c>
      <c r="C616" s="2" t="inlineStr">
        <is>
          <t>PLATO LOZA PESCADO</t>
        </is>
      </c>
      <c r="D616" s="2" t="inlineStr">
        <is>
          <t>Hogar y Decoración</t>
        </is>
      </c>
      <c r="E616" s="2" t="inlineStr">
        <is>
          <t>Menaje de Comedor</t>
        </is>
      </c>
      <c r="F616" s="2" t="inlineStr">
        <is>
          <t>Platos y Fuentes</t>
        </is>
      </c>
      <c r="G616" s="3" t="n">
        <v>150.1</v>
      </c>
      <c r="H616" s="4" t="n">
        <v>19</v>
      </c>
      <c r="I616" s="2" t="n">
        <v>5</v>
      </c>
      <c r="J616" s="5" t="n">
        <v>46104</v>
      </c>
      <c r="K616" s="3" t="n">
        <v>7.9</v>
      </c>
      <c r="L616" s="6" t="inlineStr"/>
      <c r="M616" s="7">
        <f>IF(L616&gt;0,(K616-L616)/K616*100,"")</f>
        <v/>
      </c>
    </row>
    <row r="617">
      <c r="A617" t="n">
        <v>616</v>
      </c>
      <c r="B617" t="inlineStr">
        <is>
          <t>76754493063602</t>
        </is>
      </c>
      <c r="C617" t="inlineStr">
        <is>
          <t>Soju Sabor Sandia Joju Botella 360ML CJA</t>
        </is>
      </c>
      <c r="D617" t="inlineStr">
        <is>
          <t>Alimentos y Bebidas Importadas</t>
        </is>
      </c>
      <c r="E617" t="inlineStr">
        <is>
          <t>Licores Asiáticos</t>
        </is>
      </c>
      <c r="F617" t="inlineStr">
        <is>
          <t>Soju</t>
        </is>
      </c>
      <c r="G617" s="8" t="n">
        <v>149</v>
      </c>
      <c r="H617" s="9" t="n">
        <v>10</v>
      </c>
      <c r="I617" t="n">
        <v>8</v>
      </c>
      <c r="J617" s="10" t="n">
        <v>46112</v>
      </c>
      <c r="K617" s="8" t="n">
        <v>14.9</v>
      </c>
      <c r="L617" s="6" t="inlineStr"/>
      <c r="M617" s="7">
        <f>IF(L617&gt;0,(K617-L617)/K617*100,"")</f>
        <v/>
      </c>
    </row>
    <row r="618">
      <c r="A618" s="2" t="n">
        <v>617</v>
      </c>
      <c r="B618" s="2" t="inlineStr">
        <is>
          <t>5887-1</t>
        </is>
      </c>
      <c r="C618" s="2" t="inlineStr">
        <is>
          <t>JGT COCINA BLISTER GRANDE</t>
        </is>
      </c>
      <c r="D618" s="2" t="inlineStr">
        <is>
          <t>Juguetes y Juegos</t>
        </is>
      </c>
      <c r="E618" s="2" t="inlineStr">
        <is>
          <t>Juguetes</t>
        </is>
      </c>
      <c r="F618" s="2" t="inlineStr">
        <is>
          <t>Juguetes Variados</t>
        </is>
      </c>
      <c r="G618" s="3" t="n">
        <v>148.5</v>
      </c>
      <c r="H618" s="4" t="n">
        <v>15</v>
      </c>
      <c r="I618" s="2" t="n">
        <v>15</v>
      </c>
      <c r="J618" s="5" t="n">
        <v>46170</v>
      </c>
      <c r="K618" s="3" t="n">
        <v>9.9</v>
      </c>
      <c r="L618" s="6" t="inlineStr"/>
      <c r="M618" s="7">
        <f>IF(L618&gt;0,(K618-L618)/K618*100,"")</f>
        <v/>
      </c>
    </row>
    <row r="619">
      <c r="A619" t="n">
        <v>618</v>
      </c>
      <c r="B619" t="inlineStr">
        <is>
          <t>21502</t>
        </is>
      </c>
      <c r="C619" t="inlineStr">
        <is>
          <t>AQUA MIEL JABÓN EN BARRA CORPORAL ANTIBACTERIAL</t>
        </is>
      </c>
      <c r="D619" t="inlineStr">
        <is>
          <t>Cuidado Personal y Salud</t>
        </is>
      </c>
      <c r="E619" t="inlineStr">
        <is>
          <t>Higiene Personal</t>
        </is>
      </c>
      <c r="F619" t="inlineStr">
        <is>
          <t>Jabones Corporales</t>
        </is>
      </c>
      <c r="G619" s="8" t="n">
        <v>147.6</v>
      </c>
      <c r="H619" s="9" t="n">
        <v>123</v>
      </c>
      <c r="I619" t="n">
        <v>86</v>
      </c>
      <c r="J619" s="10" t="n">
        <v>46116</v>
      </c>
      <c r="K619" s="8" t="n">
        <v>1.2</v>
      </c>
      <c r="L619" s="6" t="inlineStr"/>
      <c r="M619" s="7">
        <f>IF(L619&gt;0,(K619-L619)/K619*100,"")</f>
        <v/>
      </c>
    </row>
    <row r="620">
      <c r="A620" s="2" t="n">
        <v>619</v>
      </c>
      <c r="B620" s="2" t="inlineStr">
        <is>
          <t>76203884757362</t>
        </is>
      </c>
      <c r="C620" s="2" t="inlineStr">
        <is>
          <t>CT Nutribela Pro-Hialuronico 300ml</t>
        </is>
      </c>
      <c r="D620" s="2" t="inlineStr">
        <is>
          <t>Cuidado Personal y Salud</t>
        </is>
      </c>
      <c r="E620" s="2" t="inlineStr">
        <is>
          <t>Cuidado del Cabello</t>
        </is>
      </c>
      <c r="F620" s="2" t="inlineStr">
        <is>
          <t>Acondicionadores</t>
        </is>
      </c>
      <c r="G620" s="3" t="n">
        <v>145</v>
      </c>
      <c r="H620" s="4" t="n">
        <v>10</v>
      </c>
      <c r="I620" s="2" t="n">
        <v>10</v>
      </c>
      <c r="J620" s="5" t="n">
        <v>46175</v>
      </c>
      <c r="K620" s="3" t="n">
        <v>14.5</v>
      </c>
      <c r="L620" s="6" t="inlineStr"/>
      <c r="M620" s="7">
        <f>IF(L620&gt;0,(K620-L620)/K620*100,"")</f>
        <v/>
      </c>
    </row>
    <row r="621">
      <c r="A621" t="n">
        <v>620</v>
      </c>
      <c r="B621" t="inlineStr">
        <is>
          <t>75961067443310</t>
        </is>
      </c>
      <c r="C621" t="inlineStr">
        <is>
          <t>Big Ben Snacks Choco Caramelo Y Mani 55G</t>
        </is>
      </c>
      <c r="D621" t="inlineStr">
        <is>
          <t>Abarrotes</t>
        </is>
      </c>
      <c r="E621" t="inlineStr">
        <is>
          <t>Dulces y Chocolates</t>
        </is>
      </c>
      <c r="F621" t="inlineStr">
        <is>
          <t>Caramelos</t>
        </is>
      </c>
      <c r="G621" s="8" t="n">
        <v>145</v>
      </c>
      <c r="H621" s="9" t="n">
        <v>58</v>
      </c>
      <c r="I621" t="n">
        <v>57</v>
      </c>
      <c r="J621" s="10" t="n">
        <v>46114</v>
      </c>
      <c r="K621" s="8" t="n">
        <v>2.5</v>
      </c>
      <c r="L621" s="6" t="inlineStr"/>
      <c r="M621" s="7">
        <f>IF(L621&gt;0,(K621-L621)/K621*100,"")</f>
        <v/>
      </c>
    </row>
    <row r="622">
      <c r="A622" s="2" t="n">
        <v>621</v>
      </c>
      <c r="B622" s="2" t="inlineStr">
        <is>
          <t>3027</t>
        </is>
      </c>
      <c r="C622" s="2" t="inlineStr">
        <is>
          <t>BRINKY FRESA PE 24 PQTS (6X32 GRS)</t>
        </is>
      </c>
      <c r="D622" s="2" t="inlineStr">
        <is>
          <t>Abarrotes</t>
        </is>
      </c>
      <c r="E622" s="2" t="inlineStr">
        <is>
          <t>Dulces y Chocolates</t>
        </is>
      </c>
      <c r="F622" s="2" t="inlineStr">
        <is>
          <t>Galletas</t>
        </is>
      </c>
      <c r="G622" s="3" t="n">
        <v>144</v>
      </c>
      <c r="H622" s="4" t="n">
        <v>48</v>
      </c>
      <c r="I622" s="2" t="n">
        <v>47</v>
      </c>
      <c r="J622" s="5" t="n">
        <v>46177</v>
      </c>
      <c r="K622" s="3" t="n">
        <v>3</v>
      </c>
      <c r="L622" s="6" t="inlineStr"/>
      <c r="M622" s="7">
        <f>IF(L622&gt;0,(K622-L622)/K622*100,"")</f>
        <v/>
      </c>
    </row>
    <row r="623">
      <c r="A623" t="n">
        <v>622</v>
      </c>
      <c r="B623" t="inlineStr">
        <is>
          <t>AGL-108</t>
        </is>
      </c>
      <c r="C623" t="inlineStr">
        <is>
          <t>LABIAL RETRO JARUSA</t>
        </is>
      </c>
      <c r="D623" t="inlineStr">
        <is>
          <t>Belleza</t>
        </is>
      </c>
      <c r="E623" t="inlineStr">
        <is>
          <t>Maquillaje y Cosméticos</t>
        </is>
      </c>
      <c r="F623" t="inlineStr">
        <is>
          <t>Labial</t>
        </is>
      </c>
      <c r="G623" s="8" t="n">
        <v>143</v>
      </c>
      <c r="H623" s="9" t="n">
        <v>22</v>
      </c>
      <c r="I623" t="n">
        <v>20</v>
      </c>
      <c r="J623" s="10" t="n">
        <v>46178</v>
      </c>
      <c r="K623" s="8" t="n">
        <v>6.5</v>
      </c>
      <c r="L623" s="6" t="inlineStr"/>
      <c r="M623" s="7">
        <f>IF(L623&gt;0,(K623-L623)/K623*100,"")</f>
        <v/>
      </c>
    </row>
    <row r="624">
      <c r="A624" s="2" t="n">
        <v>623</v>
      </c>
      <c r="B624" s="2" t="inlineStr">
        <is>
          <t>76203884695014</t>
        </is>
      </c>
      <c r="C624" s="2" t="inlineStr">
        <is>
          <t>Ambientador Sapolio Spray Manzana Canela</t>
        </is>
      </c>
      <c r="D624" s="2" t="inlineStr">
        <is>
          <t>Limpieza</t>
        </is>
      </c>
      <c r="E624" s="2" t="inlineStr">
        <is>
          <t>Limpiadores Específicos</t>
        </is>
      </c>
      <c r="F624" s="2" t="inlineStr">
        <is>
          <t>Ambientadores</t>
        </is>
      </c>
      <c r="G624" s="3" t="n">
        <v>143</v>
      </c>
      <c r="H624" s="4" t="n">
        <v>22</v>
      </c>
      <c r="I624" s="2" t="n">
        <v>21</v>
      </c>
      <c r="J624" s="5" t="n">
        <v>46144</v>
      </c>
      <c r="K624" s="3" t="n">
        <v>6.5</v>
      </c>
      <c r="L624" s="6" t="inlineStr"/>
      <c r="M624" s="7">
        <f>IF(L624&gt;0,(K624-L624)/K624*100,"")</f>
        <v/>
      </c>
    </row>
    <row r="625">
      <c r="A625" t="n">
        <v>624</v>
      </c>
      <c r="B625" t="inlineStr">
        <is>
          <t>704318</t>
        </is>
      </c>
      <c r="C625" t="inlineStr">
        <is>
          <t>25 SCOOL INV BOTELLA PP 590ML C/CAÑA PAW PATROL H</t>
        </is>
      </c>
      <c r="D625" t="inlineStr">
        <is>
          <t>Librería y Oficina</t>
        </is>
      </c>
      <c r="E625" t="inlineStr">
        <is>
          <t>Loncheras y Taperes Escolares</t>
        </is>
      </c>
      <c r="F625" t="inlineStr">
        <is>
          <t>Botellas Escolares</t>
        </is>
      </c>
      <c r="G625" s="8" t="n">
        <v>142.8</v>
      </c>
      <c r="H625" s="9" t="n">
        <v>12</v>
      </c>
      <c r="I625" t="n">
        <v>12</v>
      </c>
      <c r="J625" s="10" t="n">
        <v>46098</v>
      </c>
      <c r="K625" s="8" t="n">
        <v>11.9</v>
      </c>
      <c r="L625" s="6" t="inlineStr"/>
      <c r="M625" s="7">
        <f>IF(L625&gt;0,(K625-L625)/K625*100,"")</f>
        <v/>
      </c>
    </row>
    <row r="626">
      <c r="A626" s="2" t="n">
        <v>625</v>
      </c>
      <c r="B626" s="2" t="inlineStr">
        <is>
          <t>74914422901242</t>
        </is>
      </c>
      <c r="C626" s="2" t="inlineStr">
        <is>
          <t>SKY ORIGINAL ESPUMA DE AFEITAR 200ML</t>
        </is>
      </c>
      <c r="D626" s="2" t="inlineStr">
        <is>
          <t>Cuidado Personal y Salud</t>
        </is>
      </c>
      <c r="E626" s="2" t="inlineStr">
        <is>
          <t>Afeitado</t>
        </is>
      </c>
      <c r="F626" s="2" t="inlineStr">
        <is>
          <t>Espumas y Gel de Afeitar</t>
        </is>
      </c>
      <c r="G626" s="3" t="n">
        <v>142.8</v>
      </c>
      <c r="H626" s="4" t="n">
        <v>14</v>
      </c>
      <c r="I626" s="2" t="n">
        <v>14</v>
      </c>
      <c r="J626" s="5" t="n">
        <v>46168</v>
      </c>
      <c r="K626" s="3" t="n">
        <v>10.2</v>
      </c>
      <c r="L626" s="6" t="inlineStr"/>
      <c r="M626" s="7">
        <f>IF(L626&gt;0,(K626-L626)/K626*100,"")</f>
        <v/>
      </c>
    </row>
    <row r="627">
      <c r="A627" t="n">
        <v>626</v>
      </c>
      <c r="B627" t="inlineStr">
        <is>
          <t>ROMA-15CM</t>
        </is>
      </c>
      <c r="C627" t="inlineStr">
        <is>
          <t>Gomitas Ambrossoli Ambrosia 90gr</t>
        </is>
      </c>
      <c r="D627" t="inlineStr">
        <is>
          <t>Abarrotes</t>
        </is>
      </c>
      <c r="E627" t="inlineStr">
        <is>
          <t>Dulces y Chocolates</t>
        </is>
      </c>
      <c r="F627" t="inlineStr">
        <is>
          <t>Gomitas</t>
        </is>
      </c>
      <c r="G627" s="8" t="n">
        <v>142.5</v>
      </c>
      <c r="H627" s="9" t="n">
        <v>57</v>
      </c>
      <c r="I627" t="n">
        <v>54</v>
      </c>
      <c r="J627" s="10" t="n">
        <v>46159</v>
      </c>
      <c r="K627" s="8" t="n">
        <v>2.5</v>
      </c>
      <c r="L627" s="6" t="inlineStr"/>
      <c r="M627" s="7">
        <f>IF(L627&gt;0,(K627-L627)/K627*100,"")</f>
        <v/>
      </c>
    </row>
    <row r="628">
      <c r="A628" s="2" t="n">
        <v>627</v>
      </c>
      <c r="B628" s="2" t="inlineStr">
        <is>
          <t>RE052</t>
        </is>
      </c>
      <c r="C628" s="2" t="inlineStr">
        <is>
          <t>PISCINA NIÑOS</t>
        </is>
      </c>
      <c r="D628" s="2" t="inlineStr">
        <is>
          <t>Juguetes y Juegos</t>
        </is>
      </c>
      <c r="E628" s="2" t="inlineStr">
        <is>
          <t>Juguetes al Aire Libre</t>
        </is>
      </c>
      <c r="F628" s="2" t="inlineStr">
        <is>
          <t>Piscinas y Juegos de Playa</t>
        </is>
      </c>
      <c r="G628" s="3" t="n">
        <v>141.9</v>
      </c>
      <c r="H628" s="4" t="n">
        <v>11</v>
      </c>
      <c r="I628" s="2" t="n">
        <v>11</v>
      </c>
      <c r="J628" s="5" t="n">
        <v>46102</v>
      </c>
      <c r="K628" s="3" t="n">
        <v>12.9</v>
      </c>
      <c r="L628" s="6" t="inlineStr"/>
      <c r="M628" s="7">
        <f>IF(L628&gt;0,(K628-L628)/K628*100,"")</f>
        <v/>
      </c>
    </row>
    <row r="629">
      <c r="A629" t="n">
        <v>628</v>
      </c>
      <c r="B629" t="inlineStr">
        <is>
          <t>399-59</t>
        </is>
      </c>
      <c r="C629" t="inlineStr">
        <is>
          <t>JGT SIRENA</t>
        </is>
      </c>
      <c r="D629" t="inlineStr">
        <is>
          <t>Juguetes y Juegos</t>
        </is>
      </c>
      <c r="E629" t="inlineStr">
        <is>
          <t>Juguetes</t>
        </is>
      </c>
      <c r="F629" t="inlineStr">
        <is>
          <t>Juguetes Variados</t>
        </is>
      </c>
      <c r="G629" s="8" t="n">
        <v>141.67</v>
      </c>
      <c r="H629" s="9" t="n">
        <v>49</v>
      </c>
      <c r="I629" t="n">
        <v>43</v>
      </c>
      <c r="J629" s="10" t="n">
        <v>46152</v>
      </c>
      <c r="K629" s="8" t="n">
        <v>2.9</v>
      </c>
      <c r="L629" s="6" t="inlineStr"/>
      <c r="M629" s="7">
        <f>IF(L629&gt;0,(K629-L629)/K629*100,"")</f>
        <v/>
      </c>
    </row>
    <row r="630">
      <c r="A630" s="2" t="n">
        <v>629</v>
      </c>
      <c r="B630" s="2" t="inlineStr">
        <is>
          <t>76002287507655</t>
        </is>
      </c>
      <c r="C630" s="2" t="inlineStr">
        <is>
          <t>Gomitas Trululu Oro 80Gr(PQTX24)</t>
        </is>
      </c>
      <c r="D630" s="2" t="inlineStr">
        <is>
          <t>Abarrotes</t>
        </is>
      </c>
      <c r="E630" s="2" t="inlineStr">
        <is>
          <t>Dulces y Chocolates</t>
        </is>
      </c>
      <c r="F630" s="2" t="inlineStr">
        <is>
          <t>Gomitas</t>
        </is>
      </c>
      <c r="G630" s="3" t="n">
        <v>140</v>
      </c>
      <c r="H630" s="4" t="n">
        <v>56</v>
      </c>
      <c r="I630" s="2" t="n">
        <v>54</v>
      </c>
      <c r="J630" s="5" t="n">
        <v>46117</v>
      </c>
      <c r="K630" s="3" t="n">
        <v>2.5</v>
      </c>
      <c r="L630" s="6" t="inlineStr"/>
      <c r="M630" s="7">
        <f>IF(L630&gt;0,(K630-L630)/K630*100,"")</f>
        <v/>
      </c>
    </row>
    <row r="631">
      <c r="A631" t="n">
        <v>630</v>
      </c>
      <c r="B631" t="inlineStr">
        <is>
          <t>76203884693324</t>
        </is>
      </c>
      <c r="C631" t="inlineStr">
        <is>
          <t>Gomitas Ambrosoli Loop</t>
        </is>
      </c>
      <c r="D631" t="inlineStr">
        <is>
          <t>Abarrotes</t>
        </is>
      </c>
      <c r="E631" t="inlineStr">
        <is>
          <t>Dulces y Chocolates</t>
        </is>
      </c>
      <c r="F631" t="inlineStr">
        <is>
          <t>Gomitas</t>
        </is>
      </c>
      <c r="G631" s="8" t="n">
        <v>140</v>
      </c>
      <c r="H631" s="9" t="n">
        <v>56</v>
      </c>
      <c r="I631" t="n">
        <v>54</v>
      </c>
      <c r="J631" s="10" t="n">
        <v>46163</v>
      </c>
      <c r="K631" s="8" t="n">
        <v>2.5</v>
      </c>
      <c r="L631" s="6" t="inlineStr"/>
      <c r="M631" s="7">
        <f>IF(L631&gt;0,(K631-L631)/K631*100,"")</f>
        <v/>
      </c>
    </row>
    <row r="632">
      <c r="A632" s="2" t="n">
        <v>631</v>
      </c>
      <c r="B632" s="2" t="inlineStr">
        <is>
          <t>805451</t>
        </is>
      </c>
      <c r="C632" s="2" t="inlineStr">
        <is>
          <t>26 SCOOL KOMBAT SET MALETA GDE EVA 3D SONIC</t>
        </is>
      </c>
      <c r="D632" s="2" t="inlineStr">
        <is>
          <t>Librería y Oficina</t>
        </is>
      </c>
      <c r="E632" s="2" t="inlineStr">
        <is>
          <t>Mochilas y Cartucheras</t>
        </is>
      </c>
      <c r="F632" s="2" t="inlineStr">
        <is>
          <t>Mochilas Escolares</t>
        </is>
      </c>
      <c r="G632" s="3" t="n">
        <v>139.9</v>
      </c>
      <c r="H632" s="4" t="n">
        <v>1</v>
      </c>
      <c r="I632" s="2" t="n">
        <v>1</v>
      </c>
      <c r="J632" s="5" t="n">
        <v>46090</v>
      </c>
      <c r="K632" s="3" t="n">
        <v>139.9</v>
      </c>
      <c r="L632" s="6" t="inlineStr"/>
      <c r="M632" s="7">
        <f>IF(L632&gt;0,(K632-L632)/K632*100,"")</f>
        <v/>
      </c>
    </row>
    <row r="633">
      <c r="A633" t="n">
        <v>632</v>
      </c>
      <c r="B633" t="inlineStr">
        <is>
          <t>804124</t>
        </is>
      </c>
      <c r="C633" t="inlineStr">
        <is>
          <t>23 SCOOL RANGER MOCH KIDS TELA C/PVC SONIC</t>
        </is>
      </c>
      <c r="D633" t="inlineStr">
        <is>
          <t>Librería y Oficina</t>
        </is>
      </c>
      <c r="E633" t="inlineStr">
        <is>
          <t>Mochilas y Cartucheras</t>
        </is>
      </c>
      <c r="F633" t="inlineStr">
        <is>
          <t>Mochilas Escolares</t>
        </is>
      </c>
      <c r="G633" s="8" t="n">
        <v>139.6</v>
      </c>
      <c r="H633" s="9" t="n">
        <v>4</v>
      </c>
      <c r="I633" t="n">
        <v>4</v>
      </c>
      <c r="J633" s="10" t="n">
        <v>46095</v>
      </c>
      <c r="K633" s="8" t="n">
        <v>34.9</v>
      </c>
      <c r="L633" s="6" t="inlineStr"/>
      <c r="M633" s="7">
        <f>IF(L633&gt;0,(K633-L633)/K633*100,"")</f>
        <v/>
      </c>
    </row>
    <row r="634">
      <c r="A634" s="2" t="n">
        <v>633</v>
      </c>
      <c r="B634" s="2" t="inlineStr">
        <is>
          <t>77410656574412</t>
        </is>
      </c>
      <c r="C634" s="2" t="inlineStr">
        <is>
          <t>Detergente Patito Limon 5.5Kg. (PQTX2)</t>
        </is>
      </c>
      <c r="D634" s="2" t="inlineStr">
        <is>
          <t>Limpieza</t>
        </is>
      </c>
      <c r="E634" s="2" t="inlineStr">
        <is>
          <t>Detergentes y Suavizantes</t>
        </is>
      </c>
      <c r="F634" s="2" t="inlineStr">
        <is>
          <t>Detergentes en Polvo</t>
        </is>
      </c>
      <c r="G634" s="3" t="n">
        <v>139.6</v>
      </c>
      <c r="H634" s="4" t="n">
        <v>4</v>
      </c>
      <c r="I634" s="2" t="n">
        <v>4</v>
      </c>
      <c r="J634" s="5" t="n">
        <v>46121</v>
      </c>
      <c r="K634" s="3" t="n">
        <v>34.9</v>
      </c>
      <c r="L634" s="6" t="inlineStr"/>
      <c r="M634" s="7">
        <f>IF(L634&gt;0,(K634-L634)/K634*100,"")</f>
        <v/>
      </c>
    </row>
    <row r="635">
      <c r="A635" t="n">
        <v>634</v>
      </c>
      <c r="B635" t="inlineStr">
        <is>
          <t>74931686181117</t>
        </is>
      </c>
      <c r="C635" t="inlineStr">
        <is>
          <t>GUARDA PLATO + TAPA</t>
        </is>
      </c>
      <c r="D635" t="inlineStr">
        <is>
          <t>Hogar y Decoración</t>
        </is>
      </c>
      <c r="E635" t="inlineStr">
        <is>
          <t>Menaje de Comedor</t>
        </is>
      </c>
      <c r="F635" t="inlineStr">
        <is>
          <t>Platos y Fuentes</t>
        </is>
      </c>
      <c r="G635" s="8" t="n">
        <v>139.5</v>
      </c>
      <c r="H635" s="9" t="n">
        <v>5</v>
      </c>
      <c r="I635" t="n">
        <v>5</v>
      </c>
      <c r="J635" s="10" t="n">
        <v>46159</v>
      </c>
      <c r="K635" s="8" t="n">
        <v>27.9</v>
      </c>
      <c r="L635" s="6" t="inlineStr"/>
      <c r="M635" s="7">
        <f>IF(L635&gt;0,(K635-L635)/K635*100,"")</f>
        <v/>
      </c>
    </row>
    <row r="636">
      <c r="A636" s="2" t="n">
        <v>635</v>
      </c>
      <c r="B636" s="2" t="inlineStr">
        <is>
          <t>CC-787</t>
        </is>
      </c>
      <c r="C636" s="2" t="inlineStr">
        <is>
          <t>Canasta de caramelo</t>
        </is>
      </c>
      <c r="D636" s="2" t="inlineStr">
        <is>
          <t>Hogar y Decoración</t>
        </is>
      </c>
      <c r="E636" s="2" t="inlineStr">
        <is>
          <t>Organización del Hogar</t>
        </is>
      </c>
      <c r="F636" s="2" t="inlineStr">
        <is>
          <t>Percheros y Colgadores</t>
        </is>
      </c>
      <c r="G636" s="3" t="n">
        <v>136.9</v>
      </c>
      <c r="H636" s="4" t="n">
        <v>51</v>
      </c>
      <c r="I636" s="2" t="n">
        <v>30</v>
      </c>
      <c r="J636" s="5" t="n">
        <v>46109</v>
      </c>
      <c r="K636" s="3" t="n">
        <v>2.69</v>
      </c>
      <c r="L636" s="6" t="inlineStr"/>
      <c r="M636" s="7">
        <f>IF(L636&gt;0,(K636-L636)/K636*100,"")</f>
        <v/>
      </c>
    </row>
    <row r="637">
      <c r="A637" t="n">
        <v>636</v>
      </c>
      <c r="B637" t="inlineStr">
        <is>
          <t>703218</t>
        </is>
      </c>
      <c r="C637" t="inlineStr">
        <is>
          <t>23 SCOOL INV TAPER 230 ML GRANJA DE ZE???</t>
        </is>
      </c>
      <c r="D637" t="inlineStr">
        <is>
          <t>Librería y Oficina</t>
        </is>
      </c>
      <c r="E637" t="inlineStr">
        <is>
          <t>Loncheras y Taperes Escolares</t>
        </is>
      </c>
      <c r="F637" t="inlineStr">
        <is>
          <t>Taperes Escolares</t>
        </is>
      </c>
      <c r="G637" s="8" t="n">
        <v>136.8</v>
      </c>
      <c r="H637" s="9" t="n">
        <v>28</v>
      </c>
      <c r="I637" t="n">
        <v>28</v>
      </c>
      <c r="J637" s="10" t="n">
        <v>46101</v>
      </c>
      <c r="K637" s="8" t="n">
        <v>4.89</v>
      </c>
      <c r="L637" s="6" t="inlineStr"/>
      <c r="M637" s="7">
        <f>IF(L637&gt;0,(K637-L637)/K637*100,"")</f>
        <v/>
      </c>
    </row>
    <row r="638">
      <c r="A638" s="2" t="n">
        <v>637</v>
      </c>
      <c r="B638" s="2" t="inlineStr">
        <is>
          <t>76203884637486</t>
        </is>
      </c>
      <c r="C638" s="2" t="inlineStr">
        <is>
          <t>Gomitas Ambrosoli Ambrosaurio</t>
        </is>
      </c>
      <c r="D638" s="2" t="inlineStr">
        <is>
          <t>Abarrotes</t>
        </is>
      </c>
      <c r="E638" s="2" t="inlineStr">
        <is>
          <t>Dulces y Chocolates</t>
        </is>
      </c>
      <c r="F638" s="2" t="inlineStr">
        <is>
          <t>Gomitas</t>
        </is>
      </c>
      <c r="G638" s="3" t="n">
        <v>135</v>
      </c>
      <c r="H638" s="4" t="n">
        <v>54</v>
      </c>
      <c r="I638" s="2" t="n">
        <v>54</v>
      </c>
      <c r="J638" s="5" t="n">
        <v>46156</v>
      </c>
      <c r="K638" s="3" t="n">
        <v>2.5</v>
      </c>
      <c r="L638" s="6" t="inlineStr"/>
      <c r="M638" s="7">
        <f>IF(L638&gt;0,(K638-L638)/K638*100,"")</f>
        <v/>
      </c>
    </row>
    <row r="639">
      <c r="A639" t="n">
        <v>638</v>
      </c>
      <c r="B639" t="inlineStr">
        <is>
          <t>703794</t>
        </is>
      </c>
      <c r="C639" t="inlineStr">
        <is>
          <t>TERMO COMIDA SCOOL</t>
        </is>
      </c>
      <c r="D639" t="inlineStr">
        <is>
          <t>Hogar y Decoración</t>
        </is>
      </c>
      <c r="E639" t="inlineStr">
        <is>
          <t>Menaje de Cocina</t>
        </is>
      </c>
      <c r="F639" t="inlineStr">
        <is>
          <t>Termos</t>
        </is>
      </c>
      <c r="G639" s="8" t="n">
        <v>134.5</v>
      </c>
      <c r="H639" s="9" t="n">
        <v>5</v>
      </c>
      <c r="I639" t="n">
        <v>5</v>
      </c>
      <c r="J639" s="10" t="n">
        <v>46096</v>
      </c>
      <c r="K639" s="8" t="n">
        <v>26.9</v>
      </c>
      <c r="L639" s="6" t="inlineStr"/>
      <c r="M639" s="7">
        <f>IF(L639&gt;0,(K639-L639)/K639*100,"")</f>
        <v/>
      </c>
    </row>
    <row r="640">
      <c r="A640" s="2" t="n">
        <v>639</v>
      </c>
      <c r="B640" s="2" t="inlineStr">
        <is>
          <t>AGL-900</t>
        </is>
      </c>
      <c r="C640" s="2" t="inlineStr">
        <is>
          <t>Pom Pom Lips Labial brillo mágico</t>
        </is>
      </c>
      <c r="D640" s="2" t="inlineStr">
        <is>
          <t>Belleza</t>
        </is>
      </c>
      <c r="E640" s="2" t="inlineStr">
        <is>
          <t>Maquillaje y Cosméticos</t>
        </is>
      </c>
      <c r="F640" s="2" t="inlineStr">
        <is>
          <t>Labial</t>
        </is>
      </c>
      <c r="G640" s="3" t="n">
        <v>127.5</v>
      </c>
      <c r="H640" s="4" t="n">
        <v>17</v>
      </c>
      <c r="I640" s="2" t="n">
        <v>17</v>
      </c>
      <c r="J640" s="5" t="n">
        <v>46115</v>
      </c>
      <c r="K640" s="3" t="n">
        <v>7.5</v>
      </c>
      <c r="L640" s="6" t="inlineStr"/>
      <c r="M640" s="7">
        <f>IF(L640&gt;0,(K640-L640)/K640*100,"")</f>
        <v/>
      </c>
    </row>
    <row r="641">
      <c r="A641" t="n">
        <v>640</v>
      </c>
      <c r="B641" t="inlineStr">
        <is>
          <t>JA-FE</t>
        </is>
      </c>
      <c r="C641" t="inlineStr">
        <is>
          <t>Jabón Líquido Aval antibacterial Fresco Eucalipto 400ML</t>
        </is>
      </c>
      <c r="D641" t="inlineStr">
        <is>
          <t>Cuidado Personal y Salud</t>
        </is>
      </c>
      <c r="E641" t="inlineStr">
        <is>
          <t>Higiene Personal</t>
        </is>
      </c>
      <c r="F641" t="inlineStr">
        <is>
          <t>Jabones Liquido para Manos</t>
        </is>
      </c>
      <c r="G641" s="8" t="n">
        <v>127.2</v>
      </c>
      <c r="H641" s="9" t="n">
        <v>24</v>
      </c>
      <c r="I641" t="n">
        <v>24</v>
      </c>
      <c r="J641" s="10" t="n">
        <v>46133</v>
      </c>
      <c r="K641" s="8" t="n">
        <v>5.3</v>
      </c>
      <c r="L641" s="6" t="inlineStr"/>
      <c r="M641" s="7">
        <f>IF(L641&gt;0,(K641-L641)/K641*100,"")</f>
        <v/>
      </c>
    </row>
    <row r="642">
      <c r="A642" s="2" t="n">
        <v>641</v>
      </c>
      <c r="B642" s="2" t="inlineStr">
        <is>
          <t>77508850198699</t>
        </is>
      </c>
      <c r="C642" s="2" t="inlineStr">
        <is>
          <t>Wafer Nik Vainilla</t>
        </is>
      </c>
      <c r="D642" s="2" t="inlineStr">
        <is>
          <t>Abarrotes</t>
        </is>
      </c>
      <c r="E642" s="2" t="inlineStr">
        <is>
          <t>Dulces y Chocolates</t>
        </is>
      </c>
      <c r="F642" s="2" t="inlineStr">
        <is>
          <t>Galletas</t>
        </is>
      </c>
      <c r="G642" s="3" t="n">
        <v>126.5</v>
      </c>
      <c r="H642" s="4" t="n">
        <v>23</v>
      </c>
      <c r="I642" s="2" t="n">
        <v>20</v>
      </c>
      <c r="J642" s="5" t="n">
        <v>46169</v>
      </c>
      <c r="K642" s="3" t="n">
        <v>5.5</v>
      </c>
      <c r="L642" s="6" t="inlineStr"/>
      <c r="M642" s="7">
        <f>IF(L642&gt;0,(K642-L642)/K642*100,"")</f>
        <v/>
      </c>
    </row>
    <row r="643">
      <c r="A643" t="n">
        <v>642</v>
      </c>
      <c r="B643" t="inlineStr">
        <is>
          <t>75866770138450</t>
        </is>
      </c>
      <c r="C643" t="inlineStr">
        <is>
          <t>FID ARROZ INST S/STOFADO</t>
        </is>
      </c>
      <c r="D643" t="inlineStr">
        <is>
          <t>Alimentos y Bebidas Importadas</t>
        </is>
      </c>
      <c r="E643" t="inlineStr">
        <is>
          <t>Sopas y Fideos Instantáneos</t>
        </is>
      </c>
      <c r="F643" t="inlineStr">
        <is>
          <t>Fideos de Arroz</t>
        </is>
      </c>
      <c r="G643" s="8" t="n">
        <v>126</v>
      </c>
      <c r="H643" s="9" t="n">
        <v>30</v>
      </c>
      <c r="I643" t="n">
        <v>26</v>
      </c>
      <c r="J643" s="10" t="n">
        <v>46102</v>
      </c>
      <c r="K643" s="8" t="n">
        <v>4.2</v>
      </c>
      <c r="L643" s="6" t="inlineStr"/>
      <c r="M643" s="7">
        <f>IF(L643&gt;0,(K643-L643)/K643*100,"")</f>
        <v/>
      </c>
    </row>
    <row r="644">
      <c r="A644" s="2" t="n">
        <v>643</v>
      </c>
      <c r="B644" s="2" t="inlineStr">
        <is>
          <t>AGL-480</t>
        </is>
      </c>
      <c r="C644" s="2" t="inlineStr">
        <is>
          <t>TINTA CORAZON JARUSA</t>
        </is>
      </c>
      <c r="D644" s="2" t="inlineStr">
        <is>
          <t>Belleza</t>
        </is>
      </c>
      <c r="E644" s="2" t="inlineStr">
        <is>
          <t>Maquillaje y Cosméticos</t>
        </is>
      </c>
      <c r="F644" s="2" t="inlineStr">
        <is>
          <t>Gloss y Tintas Labiales</t>
        </is>
      </c>
      <c r="G644" s="3" t="n">
        <v>126</v>
      </c>
      <c r="H644" s="4" t="n">
        <v>12</v>
      </c>
      <c r="I644" s="2" t="n">
        <v>12</v>
      </c>
      <c r="J644" s="5" t="n">
        <v>46152</v>
      </c>
      <c r="K644" s="3" t="n">
        <v>10.5</v>
      </c>
      <c r="L644" s="6" t="inlineStr"/>
      <c r="M644" s="7">
        <f>IF(L644&gt;0,(K644-L644)/K644*100,"")</f>
        <v/>
      </c>
    </row>
    <row r="645">
      <c r="A645" t="n">
        <v>644</v>
      </c>
      <c r="B645" t="inlineStr">
        <is>
          <t>AGS-152</t>
        </is>
      </c>
      <c r="C645" t="inlineStr">
        <is>
          <t>SOMBRA CARISMA FEMENINO</t>
        </is>
      </c>
      <c r="D645" t="inlineStr">
        <is>
          <t>Belleza</t>
        </is>
      </c>
      <c r="E645" t="inlineStr">
        <is>
          <t>Maquillaje y Cosméticos</t>
        </is>
      </c>
      <c r="F645" t="inlineStr">
        <is>
          <t>Sombras de Ojos</t>
        </is>
      </c>
      <c r="G645" s="8" t="n">
        <v>125.1</v>
      </c>
      <c r="H645" s="9" t="n">
        <v>9</v>
      </c>
      <c r="I645" t="n">
        <v>9</v>
      </c>
      <c r="J645" s="10" t="n">
        <v>46110</v>
      </c>
      <c r="K645" s="8" t="n">
        <v>13.9</v>
      </c>
      <c r="L645" s="6" t="inlineStr"/>
      <c r="M645" s="7">
        <f>IF(L645&gt;0,(K645-L645)/K645*100,"")</f>
        <v/>
      </c>
    </row>
    <row r="646">
      <c r="A646" s="2" t="n">
        <v>645</v>
      </c>
      <c r="B646" s="2" t="inlineStr">
        <is>
          <t>75961067444229</t>
        </is>
      </c>
      <c r="C646" s="2" t="inlineStr">
        <is>
          <t>Big Ben Snakcs Encanto Fresa 55Gr</t>
        </is>
      </c>
      <c r="D646" s="2" t="inlineStr">
        <is>
          <t>Abarrotes</t>
        </is>
      </c>
      <c r="E646" s="2" t="inlineStr">
        <is>
          <t>Dulces y Chocolates</t>
        </is>
      </c>
      <c r="F646" s="2" t="inlineStr">
        <is>
          <t>Snacks y Chocolates</t>
        </is>
      </c>
      <c r="G646" s="3" t="n">
        <v>125</v>
      </c>
      <c r="H646" s="4" t="n">
        <v>50</v>
      </c>
      <c r="I646" s="2" t="n">
        <v>49</v>
      </c>
      <c r="J646" s="5" t="n">
        <v>46101</v>
      </c>
      <c r="K646" s="3" t="n">
        <v>2.5</v>
      </c>
      <c r="L646" s="6" t="inlineStr"/>
      <c r="M646" s="7">
        <f>IF(L646&gt;0,(K646-L646)/K646*100,"")</f>
        <v/>
      </c>
    </row>
    <row r="647">
      <c r="A647" t="n">
        <v>646</v>
      </c>
      <c r="B647" t="inlineStr">
        <is>
          <t>DT-PL</t>
        </is>
      </c>
      <c r="C647" t="inlineStr">
        <is>
          <t>Detergente Patito Limon 1kg (PQTX12)</t>
        </is>
      </c>
      <c r="D647" t="inlineStr">
        <is>
          <t>Limpieza</t>
        </is>
      </c>
      <c r="E647" t="inlineStr">
        <is>
          <t>Detergentes y Suavizantes</t>
        </is>
      </c>
      <c r="F647" t="inlineStr">
        <is>
          <t>Detergentes en Polvo</t>
        </is>
      </c>
      <c r="G647" s="8" t="n">
        <v>124.8</v>
      </c>
      <c r="H647" s="9" t="n">
        <v>24</v>
      </c>
      <c r="I647" t="n">
        <v>22</v>
      </c>
      <c r="J647" s="10" t="n">
        <v>46171</v>
      </c>
      <c r="K647" s="8" t="n">
        <v>5.2</v>
      </c>
      <c r="L647" s="6" t="inlineStr"/>
      <c r="M647" s="7">
        <f>IF(L647&gt;0,(K647-L647)/K647*100,"")</f>
        <v/>
      </c>
    </row>
    <row r="648">
      <c r="A648" s="2" t="n">
        <v>647</v>
      </c>
      <c r="B648" s="2" t="inlineStr">
        <is>
          <t>DT-PTF1</t>
        </is>
      </c>
      <c r="C648" s="2" t="inlineStr">
        <is>
          <t>Detergente Patito Floral 1kg (PQTX12)</t>
        </is>
      </c>
      <c r="D648" s="2" t="inlineStr">
        <is>
          <t>Limpieza</t>
        </is>
      </c>
      <c r="E648" s="2" t="inlineStr">
        <is>
          <t>Detergentes y Suavizantes</t>
        </is>
      </c>
      <c r="F648" s="2" t="inlineStr">
        <is>
          <t>Detergentes en Polvo</t>
        </is>
      </c>
      <c r="G648" s="3" t="n">
        <v>124.8</v>
      </c>
      <c r="H648" s="4" t="n">
        <v>24</v>
      </c>
      <c r="I648" s="2" t="n">
        <v>24</v>
      </c>
      <c r="J648" s="5" t="n">
        <v>46171</v>
      </c>
      <c r="K648" s="3" t="n">
        <v>5.2</v>
      </c>
      <c r="L648" s="6" t="inlineStr"/>
      <c r="M648" s="7">
        <f>IF(L648&gt;0,(K648-L648)/K648*100,"")</f>
        <v/>
      </c>
    </row>
    <row r="649">
      <c r="A649" t="n">
        <v>648</v>
      </c>
      <c r="B649" t="inlineStr">
        <is>
          <t>PBL-CO</t>
        </is>
      </c>
      <c r="C649" t="inlineStr">
        <is>
          <t>PALITO BAJALENGUA COLORES</t>
        </is>
      </c>
      <c r="D649" t="inlineStr">
        <is>
          <t>Librería y Oficina</t>
        </is>
      </c>
      <c r="E649" t="inlineStr">
        <is>
          <t>Útiles Escolares</t>
        </is>
      </c>
      <c r="F649" t="inlineStr">
        <is>
          <t>Papelería Variada</t>
        </is>
      </c>
      <c r="G649" s="8" t="n">
        <v>124.64</v>
      </c>
      <c r="H649" s="9" t="n">
        <v>68</v>
      </c>
      <c r="I649" t="n">
        <v>33</v>
      </c>
      <c r="J649" s="10" t="n">
        <v>46097</v>
      </c>
      <c r="K649" s="8" t="n">
        <v>1.88</v>
      </c>
      <c r="L649" s="6" t="inlineStr"/>
      <c r="M649" s="7">
        <f>IF(L649&gt;0,(K649-L649)/K649*100,"")</f>
        <v/>
      </c>
    </row>
    <row r="650">
      <c r="A650" s="2" t="n">
        <v>649</v>
      </c>
      <c r="B650" s="2" t="inlineStr">
        <is>
          <t>A6214-3</t>
        </is>
      </c>
      <c r="C650" s="2" t="inlineStr">
        <is>
          <t>JGT SET BEBE + PAÑAL</t>
        </is>
      </c>
      <c r="D650" s="2" t="inlineStr">
        <is>
          <t>Juguetes y Juegos</t>
        </is>
      </c>
      <c r="E650" s="2" t="inlineStr">
        <is>
          <t>Juguetes</t>
        </is>
      </c>
      <c r="F650" s="2" t="inlineStr">
        <is>
          <t>Juguetes Variados</t>
        </is>
      </c>
      <c r="G650" s="3" t="n">
        <v>124.5</v>
      </c>
      <c r="H650" s="4" t="n">
        <v>5</v>
      </c>
      <c r="I650" s="2" t="n">
        <v>5</v>
      </c>
      <c r="J650" s="5" t="n">
        <v>46147</v>
      </c>
      <c r="K650" s="3" t="n">
        <v>24.9</v>
      </c>
      <c r="L650" s="6" t="inlineStr"/>
      <c r="M650" s="7">
        <f>IF(L650&gt;0,(K650-L650)/K650*100,"")</f>
        <v/>
      </c>
    </row>
    <row r="651">
      <c r="A651" t="n">
        <v>650</v>
      </c>
      <c r="B651" t="inlineStr">
        <is>
          <t>234404</t>
        </is>
      </c>
      <c r="C651" t="inlineStr">
        <is>
          <t>MADISON COLÁGENO MASCARILLA FACIAL 5UND</t>
        </is>
      </c>
      <c r="D651" t="inlineStr">
        <is>
          <t>Belleza</t>
        </is>
      </c>
      <c r="E651" t="inlineStr">
        <is>
          <t>Cuidado Facial</t>
        </is>
      </c>
      <c r="F651" t="inlineStr">
        <is>
          <t>Mascarillas Faciales</t>
        </is>
      </c>
      <c r="G651" s="8" t="n">
        <v>122.5</v>
      </c>
      <c r="H651" s="9" t="n">
        <v>35</v>
      </c>
      <c r="I651" t="n">
        <v>26</v>
      </c>
      <c r="J651" s="10" t="n">
        <v>46178</v>
      </c>
      <c r="K651" s="8" t="n">
        <v>3.5</v>
      </c>
      <c r="L651" s="6" t="inlineStr"/>
      <c r="M651" s="7">
        <f>IF(L651&gt;0,(K651-L651)/K651*100,"")</f>
        <v/>
      </c>
    </row>
    <row r="652">
      <c r="A652" s="2" t="n">
        <v>651</v>
      </c>
      <c r="B652" s="2" t="inlineStr">
        <is>
          <t>360205</t>
        </is>
      </c>
      <c r="C652" s="2" t="inlineStr">
        <is>
          <t>ME TOO LADY DI EDT 50ML</t>
        </is>
      </c>
      <c r="D652" s="2" t="inlineStr">
        <is>
          <t>Belleza</t>
        </is>
      </c>
      <c r="E652" s="2" t="inlineStr">
        <is>
          <t>Perfumes y Fragancias</t>
        </is>
      </c>
      <c r="F652" s="2" t="inlineStr">
        <is>
          <t>Perfumes para Mujer</t>
        </is>
      </c>
      <c r="G652" s="3" t="n">
        <v>120.7</v>
      </c>
      <c r="H652" s="4" t="n">
        <v>7</v>
      </c>
      <c r="I652" s="2" t="n">
        <v>7</v>
      </c>
      <c r="J652" s="5" t="n">
        <v>46174</v>
      </c>
      <c r="K652" s="3" t="n">
        <v>17.24</v>
      </c>
      <c r="L652" s="6" t="inlineStr"/>
      <c r="M652" s="7">
        <f>IF(L652&gt;0,(K652-L652)/K652*100,"")</f>
        <v/>
      </c>
    </row>
    <row r="653">
      <c r="A653" t="n">
        <v>652</v>
      </c>
      <c r="B653" t="inlineStr">
        <is>
          <t>76203884659817</t>
        </is>
      </c>
      <c r="C653" t="inlineStr">
        <is>
          <t>Gomitas Ambrosoli Fre Ricas</t>
        </is>
      </c>
      <c r="D653" t="inlineStr">
        <is>
          <t>Abarrotes</t>
        </is>
      </c>
      <c r="E653" t="inlineStr">
        <is>
          <t>Dulces y Chocolates</t>
        </is>
      </c>
      <c r="F653" t="inlineStr">
        <is>
          <t>Gomitas</t>
        </is>
      </c>
      <c r="G653" s="8" t="n">
        <v>120</v>
      </c>
      <c r="H653" s="9" t="n">
        <v>48</v>
      </c>
      <c r="I653" t="n">
        <v>47</v>
      </c>
      <c r="J653" s="10" t="n">
        <v>46151</v>
      </c>
      <c r="K653" s="8" t="n">
        <v>2.5</v>
      </c>
      <c r="L653" s="6" t="inlineStr"/>
      <c r="M653" s="7">
        <f>IF(L653&gt;0,(K653-L653)/K653*100,"")</f>
        <v/>
      </c>
    </row>
    <row r="654">
      <c r="A654" s="2" t="n">
        <v>653</v>
      </c>
      <c r="B654" s="2" t="inlineStr">
        <is>
          <t>75891959030260</t>
        </is>
      </c>
      <c r="C654" s="2" t="inlineStr">
        <is>
          <t>Chupete Ambrosoli Chupetín Colorado Tuttix24</t>
        </is>
      </c>
      <c r="D654" s="2" t="inlineStr">
        <is>
          <t>Abarrotes</t>
        </is>
      </c>
      <c r="E654" s="2" t="inlineStr">
        <is>
          <t>Dulces y Chocolates</t>
        </is>
      </c>
      <c r="F654" s="2" t="inlineStr">
        <is>
          <t>Caramelos</t>
        </is>
      </c>
      <c r="G654" s="3" t="n">
        <v>120</v>
      </c>
      <c r="H654" s="4" t="n">
        <v>16</v>
      </c>
      <c r="I654" s="2" t="n">
        <v>14</v>
      </c>
      <c r="J654" s="5" t="n">
        <v>46150</v>
      </c>
      <c r="K654" s="3" t="n">
        <v>7.5</v>
      </c>
      <c r="L654" s="6" t="inlineStr"/>
      <c r="M654" s="7">
        <f>IF(L654&gt;0,(K654-L654)/K654*100,"")</f>
        <v/>
      </c>
    </row>
    <row r="655">
      <c r="A655" t="n">
        <v>654</v>
      </c>
      <c r="B655" t="inlineStr">
        <is>
          <t>MT-VCH</t>
        </is>
      </c>
      <c r="C655" t="inlineStr">
        <is>
          <t>Masmelos Trululu Volcan de Chocolate 54Gr</t>
        </is>
      </c>
      <c r="D655" t="inlineStr">
        <is>
          <t>Abarrotes</t>
        </is>
      </c>
      <c r="E655" t="inlineStr">
        <is>
          <t>Dulces y Chocolates</t>
        </is>
      </c>
      <c r="F655" t="inlineStr">
        <is>
          <t>Marshmallows</t>
        </is>
      </c>
      <c r="G655" s="8" t="n">
        <v>120</v>
      </c>
      <c r="H655" s="9" t="n">
        <v>48</v>
      </c>
      <c r="I655" t="n">
        <v>46</v>
      </c>
      <c r="J655" s="10" t="n">
        <v>46178</v>
      </c>
      <c r="K655" s="8" t="n">
        <v>2.5</v>
      </c>
      <c r="L655" s="6" t="inlineStr"/>
      <c r="M655" s="7">
        <f>IF(L655&gt;0,(K655-L655)/K655*100,"")</f>
        <v/>
      </c>
    </row>
    <row r="656">
      <c r="A656" s="2" t="n">
        <v>655</v>
      </c>
      <c r="B656" s="2" t="inlineStr">
        <is>
          <t>AGS-154</t>
        </is>
      </c>
      <c r="C656" s="2" t="inlineStr">
        <is>
          <t>SOMBRA DIOSA - SOMBRA Y RUBOR</t>
        </is>
      </c>
      <c r="D656" s="2" t="inlineStr">
        <is>
          <t>Belleza</t>
        </is>
      </c>
      <c r="E656" s="2" t="inlineStr">
        <is>
          <t>Maquillaje y Cosméticos</t>
        </is>
      </c>
      <c r="F656" s="2" t="inlineStr">
        <is>
          <t>Polvos y Rubores</t>
        </is>
      </c>
      <c r="G656" s="3" t="n">
        <v>119.6</v>
      </c>
      <c r="H656" s="4" t="n">
        <v>4</v>
      </c>
      <c r="I656" s="2" t="n">
        <v>4</v>
      </c>
      <c r="J656" s="5" t="n">
        <v>46094</v>
      </c>
      <c r="K656" s="3" t="n">
        <v>29.9</v>
      </c>
      <c r="L656" s="6" t="inlineStr"/>
      <c r="M656" s="7">
        <f>IF(L656&gt;0,(K656-L656)/K656*100,"")</f>
        <v/>
      </c>
    </row>
    <row r="657">
      <c r="A657" t="n">
        <v>656</v>
      </c>
      <c r="B657" t="inlineStr">
        <is>
          <t>JS18-VARI</t>
        </is>
      </c>
      <c r="C657" t="inlineStr">
        <is>
          <t>CREMA EXFOLIANTE 250ML</t>
        </is>
      </c>
      <c r="D657" t="inlineStr">
        <is>
          <t>Belleza</t>
        </is>
      </c>
      <c r="E657" t="inlineStr">
        <is>
          <t>Cuidado de la Piel Corporal</t>
        </is>
      </c>
      <c r="F657" t="inlineStr">
        <is>
          <t>Exfoliantes Corporales</t>
        </is>
      </c>
      <c r="G657" s="8" t="n">
        <v>119.2</v>
      </c>
      <c r="H657" s="9" t="n">
        <v>8</v>
      </c>
      <c r="I657" t="n">
        <v>8</v>
      </c>
      <c r="J657" s="10" t="n">
        <v>46154</v>
      </c>
      <c r="K657" s="8" t="n">
        <v>14.9</v>
      </c>
      <c r="L657" s="6" t="inlineStr"/>
      <c r="M657" s="7">
        <f>IF(L657&gt;0,(K657-L657)/K657*100,"")</f>
        <v/>
      </c>
    </row>
    <row r="658">
      <c r="A658" s="2" t="n">
        <v>657</v>
      </c>
      <c r="B658" s="2" t="inlineStr">
        <is>
          <t>804438</t>
        </is>
      </c>
      <c r="C658" s="2" t="inlineStr">
        <is>
          <t>25 SCOOL RANGER SET MALETA GDE EVA 3D HELLO KITTY &amp; FI</t>
        </is>
      </c>
      <c r="D658" s="2" t="inlineStr">
        <is>
          <t>Librería y Oficina</t>
        </is>
      </c>
      <c r="E658" s="2" t="inlineStr">
        <is>
          <t>Mochilas y Cartucheras</t>
        </is>
      </c>
      <c r="F658" s="2" t="inlineStr">
        <is>
          <t>Mochilas Escolares</t>
        </is>
      </c>
      <c r="G658" s="3" t="n">
        <v>118.93</v>
      </c>
      <c r="H658" s="4" t="n">
        <v>2</v>
      </c>
      <c r="I658" s="2" t="n">
        <v>2</v>
      </c>
      <c r="J658" s="5" t="n">
        <v>46119</v>
      </c>
      <c r="K658" s="3" t="n">
        <v>59.47</v>
      </c>
      <c r="L658" s="6" t="inlineStr"/>
      <c r="M658" s="7">
        <f>IF(L658&gt;0,(K658-L658)/K658*100,"")</f>
        <v/>
      </c>
    </row>
    <row r="659">
      <c r="A659" t="n">
        <v>658</v>
      </c>
      <c r="B659" t="inlineStr">
        <is>
          <t>805433</t>
        </is>
      </c>
      <c r="C659" t="inlineStr">
        <is>
          <t>26 SCOOL KOMBAT SET MALETA MED EVA 3D MY MELODY</t>
        </is>
      </c>
      <c r="D659" t="inlineStr">
        <is>
          <t>Librería y Oficina</t>
        </is>
      </c>
      <c r="E659" t="inlineStr">
        <is>
          <t>Mochilas y Cartucheras</t>
        </is>
      </c>
      <c r="F659" t="inlineStr">
        <is>
          <t>Mochilas Escolares</t>
        </is>
      </c>
      <c r="G659" s="8" t="n">
        <v>116.91</v>
      </c>
      <c r="H659" s="9" t="n">
        <v>1</v>
      </c>
      <c r="I659" t="n">
        <v>1</v>
      </c>
      <c r="J659" s="10" t="n">
        <v>46099</v>
      </c>
      <c r="K659" s="8" t="n">
        <v>116.91</v>
      </c>
      <c r="L659" s="6" t="inlineStr"/>
      <c r="M659" s="7">
        <f>IF(L659&gt;0,(K659-L659)/K659*100,"")</f>
        <v/>
      </c>
    </row>
    <row r="660">
      <c r="A660" s="2" t="n">
        <v>659</v>
      </c>
      <c r="B660" s="2" t="inlineStr">
        <is>
          <t>805432</t>
        </is>
      </c>
      <c r="C660" s="2" t="inlineStr">
        <is>
          <t>26 SCOOL KOMBAT SET MALETA MED EVA 3D PERRITA</t>
        </is>
      </c>
      <c r="D660" s="2" t="inlineStr">
        <is>
          <t>Librería y Oficina</t>
        </is>
      </c>
      <c r="E660" s="2" t="inlineStr">
        <is>
          <t>Mochilas y Cartucheras</t>
        </is>
      </c>
      <c r="F660" s="2" t="inlineStr">
        <is>
          <t>Mochilas Escolares</t>
        </is>
      </c>
      <c r="G660" s="3" t="n">
        <v>116.91</v>
      </c>
      <c r="H660" s="4" t="n">
        <v>2</v>
      </c>
      <c r="I660" s="2" t="n">
        <v>2</v>
      </c>
      <c r="J660" s="5" t="n">
        <v>46114</v>
      </c>
      <c r="K660" s="3" t="n">
        <v>58.46</v>
      </c>
      <c r="L660" s="6" t="inlineStr"/>
      <c r="M660" s="7">
        <f>IF(L660&gt;0,(K660-L660)/K660*100,"")</f>
        <v/>
      </c>
    </row>
    <row r="661">
      <c r="A661" t="n">
        <v>660</v>
      </c>
      <c r="B661" t="inlineStr">
        <is>
          <t>270822</t>
        </is>
      </c>
      <c r="C661" t="inlineStr">
        <is>
          <t>SKY TEENS FÚTBOL BODY SPRAY 150ML</t>
        </is>
      </c>
      <c r="D661" t="inlineStr">
        <is>
          <t>Belleza</t>
        </is>
      </c>
      <c r="E661" t="inlineStr">
        <is>
          <t>Perfumes y Fragancias</t>
        </is>
      </c>
      <c r="F661" t="inlineStr">
        <is>
          <t>Splashes y Colonias Corporales</t>
        </is>
      </c>
      <c r="G661" s="8" t="n">
        <v>115.7</v>
      </c>
      <c r="H661" s="9" t="n">
        <v>13</v>
      </c>
      <c r="I661" t="n">
        <v>13</v>
      </c>
      <c r="J661" s="10" t="n">
        <v>46178</v>
      </c>
      <c r="K661" s="8" t="n">
        <v>8.9</v>
      </c>
      <c r="L661" s="6" t="inlineStr"/>
      <c r="M661" s="7">
        <f>IF(L661&gt;0,(K661-L661)/K661*100,"")</f>
        <v/>
      </c>
    </row>
    <row r="662">
      <c r="A662" s="2" t="n">
        <v>661</v>
      </c>
      <c r="B662" s="2" t="inlineStr">
        <is>
          <t>BW60583</t>
        </is>
      </c>
      <c r="C662" s="2" t="inlineStr">
        <is>
          <t>BYWIN TOALLITAS HUMEDAS X 100 UND SWEET PRINCESS</t>
        </is>
      </c>
      <c r="D662" s="2" t="inlineStr">
        <is>
          <t>Cuidado Personal y Salud</t>
        </is>
      </c>
      <c r="E662" s="2" t="inlineStr">
        <is>
          <t>Toallitas Húmedas</t>
        </is>
      </c>
      <c r="F662" s="2" t="inlineStr">
        <is>
          <t>Toallitas Húmedas con Licencia</t>
        </is>
      </c>
      <c r="G662" s="3" t="n">
        <v>115.2</v>
      </c>
      <c r="H662" s="4" t="n">
        <v>32</v>
      </c>
      <c r="I662" s="2" t="n">
        <v>29</v>
      </c>
      <c r="J662" s="5" t="n">
        <v>46178</v>
      </c>
      <c r="K662" s="3" t="n">
        <v>3.6</v>
      </c>
      <c r="L662" s="6" t="inlineStr"/>
      <c r="M662" s="7">
        <f>IF(L662&gt;0,(K662-L662)/K662*100,"")</f>
        <v/>
      </c>
    </row>
    <row r="663">
      <c r="A663" t="n">
        <v>662</v>
      </c>
      <c r="B663" t="inlineStr">
        <is>
          <t>75961067466441</t>
        </is>
      </c>
      <c r="C663" t="inlineStr">
        <is>
          <t>Gomitas Trululu Surtido Mas vendidos 24x80gr</t>
        </is>
      </c>
      <c r="D663" t="inlineStr">
        <is>
          <t>Abarrotes</t>
        </is>
      </c>
      <c r="E663" t="inlineStr">
        <is>
          <t>Dulces y Chocolates</t>
        </is>
      </c>
      <c r="F663" t="inlineStr">
        <is>
          <t>Gomitas</t>
        </is>
      </c>
      <c r="G663" s="8" t="n">
        <v>115</v>
      </c>
      <c r="H663" s="9" t="n">
        <v>46</v>
      </c>
      <c r="I663" t="n">
        <v>43</v>
      </c>
      <c r="J663" s="10" t="n">
        <v>46131</v>
      </c>
      <c r="K663" s="8" t="n">
        <v>2.5</v>
      </c>
      <c r="L663" s="6" t="inlineStr"/>
      <c r="M663" s="7">
        <f>IF(L663&gt;0,(K663-L663)/K663*100,"")</f>
        <v/>
      </c>
    </row>
    <row r="664">
      <c r="A664" s="2" t="n">
        <v>663</v>
      </c>
      <c r="B664" s="2" t="inlineStr">
        <is>
          <t>110145</t>
        </is>
      </c>
      <c r="C664" s="2" t="inlineStr">
        <is>
          <t>CONDIMENTERO</t>
        </is>
      </c>
      <c r="D664" s="2" t="inlineStr">
        <is>
          <t>Hogar y Decoración</t>
        </is>
      </c>
      <c r="E664" s="2" t="inlineStr">
        <is>
          <t>Menaje de Cocina</t>
        </is>
      </c>
      <c r="F664" s="2" t="inlineStr">
        <is>
          <t>Dispensadores y Organizadores de Cocina</t>
        </is>
      </c>
      <c r="G664" s="3" t="n">
        <v>113.9</v>
      </c>
      <c r="H664" s="4" t="n">
        <v>17</v>
      </c>
      <c r="I664" s="2" t="n">
        <v>11</v>
      </c>
      <c r="J664" s="5" t="n">
        <v>46110</v>
      </c>
      <c r="K664" s="3" t="n">
        <v>6.7</v>
      </c>
      <c r="L664" s="6" t="inlineStr"/>
      <c r="M664" s="7">
        <f>IF(L664&gt;0,(K664-L664)/K664*100,"")</f>
        <v/>
      </c>
    </row>
    <row r="665">
      <c r="A665" t="n">
        <v>664</v>
      </c>
      <c r="B665" t="inlineStr">
        <is>
          <t>75961067533173</t>
        </is>
      </c>
      <c r="C665" t="inlineStr">
        <is>
          <t>Jabón en barra Neko Extrasuave 110Gr</t>
        </is>
      </c>
      <c r="D665" t="inlineStr">
        <is>
          <t>Cuidado Personal y Salud</t>
        </is>
      </c>
      <c r="E665" t="inlineStr">
        <is>
          <t>Higiene Personal</t>
        </is>
      </c>
      <c r="F665" t="inlineStr">
        <is>
          <t>Jabones Corporales</t>
        </is>
      </c>
      <c r="G665" s="8" t="n">
        <v>113.4</v>
      </c>
      <c r="H665" s="9" t="n">
        <v>27</v>
      </c>
      <c r="I665" t="n">
        <v>25</v>
      </c>
      <c r="J665" s="10" t="n">
        <v>46177</v>
      </c>
      <c r="K665" s="8" t="n">
        <v>4.2</v>
      </c>
      <c r="L665" s="6" t="inlineStr"/>
      <c r="M665" s="7">
        <f>IF(L665&gt;0,(K665-L665)/K665*100,"")</f>
        <v/>
      </c>
    </row>
    <row r="666">
      <c r="A666" s="2" t="n">
        <v>665</v>
      </c>
      <c r="B666" s="2" t="inlineStr">
        <is>
          <t>1089-4</t>
        </is>
      </c>
      <c r="C666" s="2" t="inlineStr">
        <is>
          <t>FRASCO VIDRIO</t>
        </is>
      </c>
      <c r="D666" s="2" t="inlineStr">
        <is>
          <t>Hogar y Decoración</t>
        </is>
      </c>
      <c r="E666" s="2" t="inlineStr">
        <is>
          <t>Menaje de Cocina</t>
        </is>
      </c>
      <c r="F666" s="2" t="inlineStr">
        <is>
          <t>Frascos y Tarros</t>
        </is>
      </c>
      <c r="G666" s="3" t="n">
        <v>113</v>
      </c>
      <c r="H666" s="4" t="n">
        <v>22</v>
      </c>
      <c r="I666" s="2" t="n">
        <v>17</v>
      </c>
      <c r="J666" s="5" t="n">
        <v>46110</v>
      </c>
      <c r="K666" s="3" t="n">
        <v>5.16</v>
      </c>
      <c r="L666" s="6" t="inlineStr"/>
      <c r="M666" s="7">
        <f>IF(L666&gt;0,(K666-L666)/K666*100,"")</f>
        <v/>
      </c>
    </row>
    <row r="667">
      <c r="A667" t="n">
        <v>666</v>
      </c>
      <c r="B667" t="inlineStr">
        <is>
          <t>702355</t>
        </is>
      </c>
      <c r="C667" t="inlineStr">
        <is>
          <t>21 SCOOL TAPER CDRD 230ML CRY BABIES</t>
        </is>
      </c>
      <c r="D667" t="inlineStr">
        <is>
          <t>Librería y Oficina</t>
        </is>
      </c>
      <c r="E667" t="inlineStr">
        <is>
          <t>Loncheras y Taperes Escolares</t>
        </is>
      </c>
      <c r="F667" t="inlineStr">
        <is>
          <t>Taperes Escolares</t>
        </is>
      </c>
      <c r="G667" s="8" t="n">
        <v>112.7</v>
      </c>
      <c r="H667" s="9" t="n">
        <v>23</v>
      </c>
      <c r="I667" t="n">
        <v>20</v>
      </c>
      <c r="J667" s="10" t="n">
        <v>46096</v>
      </c>
      <c r="K667" s="8" t="n">
        <v>4.9</v>
      </c>
      <c r="L667" s="6" t="inlineStr"/>
      <c r="M667" s="7">
        <f>IF(L667&gt;0,(K667-L667)/K667*100,"")</f>
        <v/>
      </c>
    </row>
    <row r="668">
      <c r="A668" s="2" t="n">
        <v>667</v>
      </c>
      <c r="B668" s="2" t="inlineStr">
        <is>
          <t>703227</t>
        </is>
      </c>
      <c r="C668" s="2" t="inlineStr">
        <is>
          <t>23 SCOOL INV TAPER 230 ML DRAGON BALL_B</t>
        </is>
      </c>
      <c r="D668" s="2" t="inlineStr">
        <is>
          <t>Librería y Oficina</t>
        </is>
      </c>
      <c r="E668" s="2" t="inlineStr">
        <is>
          <t>Loncheras y Taperes Escolares</t>
        </is>
      </c>
      <c r="F668" s="2" t="inlineStr">
        <is>
          <t>Taperes Escolares</t>
        </is>
      </c>
      <c r="G668" s="3" t="n">
        <v>112.3</v>
      </c>
      <c r="H668" s="4" t="n">
        <v>23</v>
      </c>
      <c r="I668" s="2" t="n">
        <v>22</v>
      </c>
      <c r="J668" s="5" t="n">
        <v>46096</v>
      </c>
      <c r="K668" s="3" t="n">
        <v>4.88</v>
      </c>
      <c r="L668" s="6" t="inlineStr"/>
      <c r="M668" s="7">
        <f>IF(L668&gt;0,(K668-L668)/K668*100,"")</f>
        <v/>
      </c>
    </row>
    <row r="669">
      <c r="A669" t="n">
        <v>668</v>
      </c>
      <c r="B669" t="inlineStr">
        <is>
          <t>75875160865301</t>
        </is>
      </c>
      <c r="C669" t="inlineStr">
        <is>
          <t>Detergente Topaz Nueva Fórmula Aroma Limón 2.5 Kg</t>
        </is>
      </c>
      <c r="D669" t="inlineStr">
        <is>
          <t>Limpieza</t>
        </is>
      </c>
      <c r="E669" t="inlineStr">
        <is>
          <t>Detergentes y Suavizantes</t>
        </is>
      </c>
      <c r="F669" t="inlineStr">
        <is>
          <t>Detergentes en Polvo</t>
        </is>
      </c>
      <c r="G669" s="8" t="n">
        <v>111.2</v>
      </c>
      <c r="H669" s="9" t="n">
        <v>8</v>
      </c>
      <c r="I669" t="n">
        <v>8</v>
      </c>
      <c r="J669" s="10" t="n">
        <v>46172</v>
      </c>
      <c r="K669" s="8" t="n">
        <v>13.9</v>
      </c>
      <c r="L669" s="6" t="inlineStr"/>
      <c r="M669" s="7">
        <f>IF(L669&gt;0,(K669-L669)/K669*100,"")</f>
        <v/>
      </c>
    </row>
    <row r="670">
      <c r="A670" s="2" t="n">
        <v>669</v>
      </c>
      <c r="B670" s="2" t="inlineStr">
        <is>
          <t>120201</t>
        </is>
      </c>
      <c r="C670" s="2" t="inlineStr">
        <is>
          <t>ALIANZA CLASSIC EDT 50ML</t>
        </is>
      </c>
      <c r="D670" s="2" t="inlineStr">
        <is>
          <t>Belleza</t>
        </is>
      </c>
      <c r="E670" s="2" t="inlineStr">
        <is>
          <t>Perfumes y Fragancias</t>
        </is>
      </c>
      <c r="F670" s="2" t="inlineStr">
        <is>
          <t>Perfumes para Hombre</t>
        </is>
      </c>
      <c r="G670" s="3" t="n">
        <v>109.5</v>
      </c>
      <c r="H670" s="4" t="n">
        <v>5</v>
      </c>
      <c r="I670" s="2" t="n">
        <v>5</v>
      </c>
      <c r="J670" s="5" t="n">
        <v>46103</v>
      </c>
      <c r="K670" s="3" t="n">
        <v>21.9</v>
      </c>
      <c r="L670" s="6" t="inlineStr"/>
      <c r="M670" s="7">
        <f>IF(L670&gt;0,(K670-L670)/K670*100,"")</f>
        <v/>
      </c>
    </row>
    <row r="671">
      <c r="A671" t="n">
        <v>670</v>
      </c>
      <c r="B671" t="inlineStr">
        <is>
          <t>130201</t>
        </is>
      </c>
      <c r="C671" t="inlineStr">
        <is>
          <t>UNIVERSITARIO CLASSIC EDT 50ML</t>
        </is>
      </c>
      <c r="D671" t="inlineStr">
        <is>
          <t>Belleza</t>
        </is>
      </c>
      <c r="E671" t="inlineStr">
        <is>
          <t>Perfumes y Fragancias</t>
        </is>
      </c>
      <c r="F671" t="inlineStr">
        <is>
          <t>Perfumes Variados</t>
        </is>
      </c>
      <c r="G671" s="8" t="n">
        <v>109.5</v>
      </c>
      <c r="H671" s="9" t="n">
        <v>5</v>
      </c>
      <c r="I671" t="n">
        <v>5</v>
      </c>
      <c r="J671" s="10" t="n">
        <v>46117</v>
      </c>
      <c r="K671" s="8" t="n">
        <v>21.9</v>
      </c>
      <c r="L671" s="6" t="inlineStr"/>
      <c r="M671" s="7">
        <f>IF(L671&gt;0,(K671-L671)/K671*100,"")</f>
        <v/>
      </c>
    </row>
    <row r="672">
      <c r="A672" s="2" t="n">
        <v>671</v>
      </c>
      <c r="B672" s="2" t="inlineStr">
        <is>
          <t>5887-3</t>
        </is>
      </c>
      <c r="C672" s="2" t="inlineStr">
        <is>
          <t>JGT BLISTER COCINA GRANDE</t>
        </is>
      </c>
      <c r="D672" s="2" t="inlineStr">
        <is>
          <t>Juguetes y Juegos</t>
        </is>
      </c>
      <c r="E672" s="2" t="inlineStr">
        <is>
          <t>Juguetes</t>
        </is>
      </c>
      <c r="F672" s="2" t="inlineStr">
        <is>
          <t>Juguetes Variados</t>
        </is>
      </c>
      <c r="G672" s="3" t="n">
        <v>108.9</v>
      </c>
      <c r="H672" s="4" t="n">
        <v>11</v>
      </c>
      <c r="I672" s="2" t="n">
        <v>11</v>
      </c>
      <c r="J672" s="5" t="n">
        <v>46165</v>
      </c>
      <c r="K672" s="3" t="n">
        <v>9.9</v>
      </c>
      <c r="L672" s="6" t="inlineStr"/>
      <c r="M672" s="7">
        <f>IF(L672&gt;0,(K672-L672)/K672*100,"")</f>
        <v/>
      </c>
    </row>
    <row r="673">
      <c r="A673" t="n">
        <v>672</v>
      </c>
      <c r="B673" t="inlineStr">
        <is>
          <t>120802</t>
        </is>
      </c>
      <c r="C673" t="inlineStr">
        <is>
          <t>ALIANZA 1901 BODY SPRAY 150ML</t>
        </is>
      </c>
      <c r="D673" t="inlineStr">
        <is>
          <t>Belleza</t>
        </is>
      </c>
      <c r="E673" t="inlineStr">
        <is>
          <t>Perfumes y Fragancias</t>
        </is>
      </c>
      <c r="F673" t="inlineStr">
        <is>
          <t>Splashes y Colonias Corporales</t>
        </is>
      </c>
      <c r="G673" s="8" t="n">
        <v>108.9</v>
      </c>
      <c r="H673" s="9" t="n">
        <v>11</v>
      </c>
      <c r="I673" t="n">
        <v>11</v>
      </c>
      <c r="J673" s="10" t="n">
        <v>46177</v>
      </c>
      <c r="K673" s="8" t="n">
        <v>9.9</v>
      </c>
      <c r="L673" s="6" t="inlineStr"/>
      <c r="M673" s="7">
        <f>IF(L673&gt;0,(K673-L673)/K673*100,"")</f>
        <v/>
      </c>
    </row>
    <row r="674">
      <c r="A674" s="2" t="n">
        <v>673</v>
      </c>
      <c r="B674" s="2" t="inlineStr">
        <is>
          <t>77410656638735</t>
        </is>
      </c>
      <c r="C674" s="2" t="inlineStr">
        <is>
          <t>CerealBar Golden Cereal 1x21Gr.</t>
        </is>
      </c>
      <c r="D674" s="2" t="inlineStr">
        <is>
          <t>Abarrotes</t>
        </is>
      </c>
      <c r="E674" s="2" t="inlineStr">
        <is>
          <t>Dulces y Chocolates</t>
        </is>
      </c>
      <c r="F674" s="2" t="inlineStr">
        <is>
          <t>Barras de Cereal</t>
        </is>
      </c>
      <c r="G674" s="3" t="n">
        <v>108</v>
      </c>
      <c r="H674" s="4" t="n">
        <v>72</v>
      </c>
      <c r="I674" s="2" t="n">
        <v>61</v>
      </c>
      <c r="J674" s="5" t="n">
        <v>46131</v>
      </c>
      <c r="K674" s="3" t="n">
        <v>1.5</v>
      </c>
      <c r="L674" s="6" t="inlineStr"/>
      <c r="M674" s="7">
        <f>IF(L674&gt;0,(K674-L674)/K674*100,"")</f>
        <v/>
      </c>
    </row>
    <row r="675">
      <c r="A675" t="n">
        <v>674</v>
      </c>
      <c r="B675" t="inlineStr">
        <is>
          <t>270820</t>
        </is>
      </c>
      <c r="C675" t="inlineStr">
        <is>
          <t>SKY FIRE BODY SPRAY 150ML</t>
        </is>
      </c>
      <c r="D675" t="inlineStr">
        <is>
          <t>Belleza</t>
        </is>
      </c>
      <c r="E675" t="inlineStr">
        <is>
          <t>Perfumes y Fragancias</t>
        </is>
      </c>
      <c r="F675" t="inlineStr">
        <is>
          <t>Splashes y Colonias Corporales</t>
        </is>
      </c>
      <c r="G675" s="8" t="n">
        <v>106.8</v>
      </c>
      <c r="H675" s="9" t="n">
        <v>12</v>
      </c>
      <c r="I675" t="n">
        <v>12</v>
      </c>
      <c r="J675" s="10" t="n">
        <v>46178</v>
      </c>
      <c r="K675" s="8" t="n">
        <v>8.9</v>
      </c>
      <c r="L675" s="6" t="inlineStr"/>
      <c r="M675" s="7">
        <f>IF(L675&gt;0,(K675-L675)/K675*100,"")</f>
        <v/>
      </c>
    </row>
    <row r="676">
      <c r="A676" s="2" t="n">
        <v>675</v>
      </c>
      <c r="B676" s="2" t="inlineStr">
        <is>
          <t>6976337021367</t>
        </is>
      </c>
      <c r="C676" s="2" t="inlineStr">
        <is>
          <t>GALL CRUJIENTE S/YEMA SALADA BIAOWEIZ</t>
        </is>
      </c>
      <c r="D676" s="2" t="inlineStr">
        <is>
          <t>Alimentos y Bebidas Importadas</t>
        </is>
      </c>
      <c r="E676" s="2" t="inlineStr">
        <is>
          <t>Snacks y Dulces Asiáticos</t>
        </is>
      </c>
      <c r="F676" s="2" t="inlineStr">
        <is>
          <t>Galletas y Bocaditos Dulces</t>
        </is>
      </c>
      <c r="G676" s="3" t="n">
        <v>106.4</v>
      </c>
      <c r="H676" s="4" t="n">
        <v>56</v>
      </c>
      <c r="I676" s="2" t="n">
        <v>52</v>
      </c>
      <c r="J676" s="5" t="n">
        <v>46166</v>
      </c>
      <c r="K676" s="3" t="n">
        <v>1.9</v>
      </c>
      <c r="L676" s="6" t="inlineStr"/>
      <c r="M676" s="7">
        <f>IF(L676&gt;0,(K676-L676)/K676*100,"")</f>
        <v/>
      </c>
    </row>
    <row r="677">
      <c r="A677" t="n">
        <v>676</v>
      </c>
      <c r="B677" t="inlineStr">
        <is>
          <t>C9-349</t>
        </is>
      </c>
      <c r="C677" t="inlineStr">
        <is>
          <t>ZAPATILLA DAMAS</t>
        </is>
      </c>
      <c r="D677" t="inlineStr">
        <is>
          <t>Zapatillas</t>
        </is>
      </c>
      <c r="E677" t="inlineStr">
        <is>
          <t>Zapatillas</t>
        </is>
      </c>
      <c r="F677" t="inlineStr">
        <is>
          <t>Zapatillas Urbanas</t>
        </is>
      </c>
      <c r="G677" s="8" t="n">
        <v>105.8</v>
      </c>
      <c r="H677" s="9" t="n">
        <v>2</v>
      </c>
      <c r="I677" t="n">
        <v>2</v>
      </c>
      <c r="J677" s="10" t="n">
        <v>46118</v>
      </c>
      <c r="K677" s="8" t="n">
        <v>52.9</v>
      </c>
      <c r="L677" s="6" t="inlineStr"/>
      <c r="M677" s="7">
        <f>IF(L677&gt;0,(K677-L677)/K677*100,"")</f>
        <v/>
      </c>
    </row>
    <row r="678">
      <c r="A678" s="2" t="n">
        <v>677</v>
      </c>
      <c r="B678" s="2" t="inlineStr">
        <is>
          <t>804123</t>
        </is>
      </c>
      <c r="C678" s="2" t="inlineStr">
        <is>
          <t>23 SCOOL RANGER MOCH KIDS TELA C/PVC SONIC/SHADOW</t>
        </is>
      </c>
      <c r="D678" s="2" t="inlineStr">
        <is>
          <t>Librería y Oficina</t>
        </is>
      </c>
      <c r="E678" s="2" t="inlineStr">
        <is>
          <t>Mochilas y Cartucheras</t>
        </is>
      </c>
      <c r="F678" s="2" t="inlineStr">
        <is>
          <t>Mochilas Escolares</t>
        </is>
      </c>
      <c r="G678" s="3" t="n">
        <v>105.71</v>
      </c>
      <c r="H678" s="4" t="n">
        <v>3</v>
      </c>
      <c r="I678" s="2" t="n">
        <v>3</v>
      </c>
      <c r="J678" s="5" t="n">
        <v>46116</v>
      </c>
      <c r="K678" s="3" t="n">
        <v>35.24</v>
      </c>
      <c r="L678" s="6" t="inlineStr"/>
      <c r="M678" s="7">
        <f>IF(L678&gt;0,(K678-L678)/K678*100,"")</f>
        <v/>
      </c>
    </row>
    <row r="679">
      <c r="A679" t="n">
        <v>678</v>
      </c>
      <c r="B679" t="inlineStr">
        <is>
          <t>PL-10</t>
        </is>
      </c>
      <c r="C679" t="inlineStr">
        <is>
          <t>JARRA BONITA 2.5L +1 VASO</t>
        </is>
      </c>
      <c r="D679" t="inlineStr">
        <is>
          <t>Hogar y Decoración</t>
        </is>
      </c>
      <c r="E679" t="inlineStr">
        <is>
          <t>Menaje de Comedor</t>
        </is>
      </c>
      <c r="F679" t="inlineStr">
        <is>
          <t>Jarras</t>
        </is>
      </c>
      <c r="G679" s="8" t="n">
        <v>104.5</v>
      </c>
      <c r="H679" s="9" t="n">
        <v>19</v>
      </c>
      <c r="I679" t="n">
        <v>19</v>
      </c>
      <c r="J679" s="10" t="n">
        <v>46096</v>
      </c>
      <c r="K679" s="8" t="n">
        <v>5.5</v>
      </c>
      <c r="L679" s="6" t="inlineStr"/>
      <c r="M679" s="7">
        <f>IF(L679&gt;0,(K679-L679)/K679*100,"")</f>
        <v/>
      </c>
    </row>
    <row r="680">
      <c r="A680" s="2" t="n">
        <v>679</v>
      </c>
      <c r="B680" s="2" t="inlineStr">
        <is>
          <t>130206</t>
        </is>
      </c>
      <c r="C680" s="2" t="inlineStr">
        <is>
          <t>UNIVERSITARIO EDT 30ML</t>
        </is>
      </c>
      <c r="D680" s="2" t="inlineStr">
        <is>
          <t>Belleza</t>
        </is>
      </c>
      <c r="E680" s="2" t="inlineStr">
        <is>
          <t>Perfumes y Fragancias</t>
        </is>
      </c>
      <c r="F680" s="2" t="inlineStr">
        <is>
          <t>Perfumes para Hombre</t>
        </is>
      </c>
      <c r="G680" s="3" t="n">
        <v>104.3</v>
      </c>
      <c r="H680" s="4" t="n">
        <v>7</v>
      </c>
      <c r="I680" s="2" t="n">
        <v>7</v>
      </c>
      <c r="J680" s="5" t="n">
        <v>46171</v>
      </c>
      <c r="K680" s="3" t="n">
        <v>14.9</v>
      </c>
      <c r="L680" s="6" t="inlineStr"/>
      <c r="M680" s="7">
        <f>IF(L680&gt;0,(K680-L680)/K680*100,"")</f>
        <v/>
      </c>
    </row>
    <row r="681">
      <c r="A681" t="n">
        <v>680</v>
      </c>
      <c r="B681" t="inlineStr">
        <is>
          <t>AGTI-30</t>
        </is>
      </c>
      <c r="C681" t="inlineStr">
        <is>
          <t>[AGTI-30] TINTA JARU LOVER</t>
        </is>
      </c>
      <c r="D681" t="inlineStr">
        <is>
          <t>Belleza</t>
        </is>
      </c>
      <c r="E681" t="inlineStr">
        <is>
          <t>Maquillaje y Cosméticos</t>
        </is>
      </c>
      <c r="F681" t="inlineStr">
        <is>
          <t>Gloss y Tintas Labiales</t>
        </is>
      </c>
      <c r="G681" s="8" t="n">
        <v>104</v>
      </c>
      <c r="H681" s="9" t="n">
        <v>16</v>
      </c>
      <c r="I681" t="n">
        <v>16</v>
      </c>
      <c r="J681" s="10" t="n">
        <v>46102</v>
      </c>
      <c r="K681" s="8" t="n">
        <v>6.5</v>
      </c>
      <c r="L681" s="6" t="inlineStr"/>
      <c r="M681" s="7">
        <f>IF(L681&gt;0,(K681-L681)/K681*100,"")</f>
        <v/>
      </c>
    </row>
    <row r="682">
      <c r="A682" s="2" t="n">
        <v>681</v>
      </c>
      <c r="B682" s="2" t="inlineStr">
        <is>
          <t>360202</t>
        </is>
      </c>
      <c r="C682" s="2" t="inlineStr">
        <is>
          <t>ME TOO DESTINY EDT 50ML</t>
        </is>
      </c>
      <c r="D682" s="2" t="inlineStr">
        <is>
          <t>Belleza</t>
        </is>
      </c>
      <c r="E682" s="2" t="inlineStr">
        <is>
          <t>Perfumes y Fragancias</t>
        </is>
      </c>
      <c r="F682" s="2" t="inlineStr">
        <is>
          <t>Perfumes para Hombre</t>
        </is>
      </c>
      <c r="G682" s="3" t="n">
        <v>103.8</v>
      </c>
      <c r="H682" s="4" t="n">
        <v>6</v>
      </c>
      <c r="I682" s="2" t="n">
        <v>6</v>
      </c>
      <c r="J682" s="5" t="n">
        <v>46169</v>
      </c>
      <c r="K682" s="3" t="n">
        <v>17.3</v>
      </c>
      <c r="L682" s="6" t="inlineStr"/>
      <c r="M682" s="7">
        <f>IF(L682&gt;0,(K682-L682)/K682*100,"")</f>
        <v/>
      </c>
    </row>
    <row r="683">
      <c r="A683" t="n">
        <v>682</v>
      </c>
      <c r="B683" t="inlineStr">
        <is>
          <t>ESC-06</t>
        </is>
      </c>
      <c r="C683" t="inlineStr">
        <is>
          <t>COLORES JUMBO BIKINGO</t>
        </is>
      </c>
      <c r="D683" t="inlineStr">
        <is>
          <t>Librería y Oficina</t>
        </is>
      </c>
      <c r="E683" t="inlineStr">
        <is>
          <t>Útiles Escolares</t>
        </is>
      </c>
      <c r="F683" t="inlineStr">
        <is>
          <t>Colores y Crayolas</t>
        </is>
      </c>
      <c r="G683" s="8" t="n">
        <v>103.53</v>
      </c>
      <c r="H683" s="9" t="n">
        <v>9</v>
      </c>
      <c r="I683" t="n">
        <v>7</v>
      </c>
      <c r="J683" s="10" t="n">
        <v>46122</v>
      </c>
      <c r="K683" s="8" t="n">
        <v>11.73</v>
      </c>
      <c r="L683" s="6" t="inlineStr"/>
      <c r="M683" s="7">
        <f>IF(L683&gt;0,(K683-L683)/K683*100,"")</f>
        <v/>
      </c>
    </row>
    <row r="684">
      <c r="A684" s="2" t="n">
        <v>683</v>
      </c>
      <c r="B684" s="2" t="inlineStr">
        <is>
          <t>8811</t>
        </is>
      </c>
      <c r="C684" s="2" t="inlineStr">
        <is>
          <t>JGT BARBIE EN CAJA</t>
        </is>
      </c>
      <c r="D684" s="2" t="inlineStr">
        <is>
          <t>Juguetes y Juegos</t>
        </is>
      </c>
      <c r="E684" s="2" t="inlineStr">
        <is>
          <t>Juguetes</t>
        </is>
      </c>
      <c r="F684" s="2" t="inlineStr">
        <is>
          <t>Juguetes Variados</t>
        </is>
      </c>
      <c r="G684" s="3" t="n">
        <v>101.92</v>
      </c>
      <c r="H684" s="4" t="n">
        <v>32</v>
      </c>
      <c r="I684" s="2" t="n">
        <v>22</v>
      </c>
      <c r="J684" s="5" t="n">
        <v>46177</v>
      </c>
      <c r="K684" s="3" t="n">
        <v>3.19</v>
      </c>
      <c r="L684" s="6" t="inlineStr"/>
      <c r="M684" s="7">
        <f>IF(L684&gt;0,(K684-L684)/K684*100,"")</f>
        <v/>
      </c>
    </row>
    <row r="685">
      <c r="A685" t="n">
        <v>684</v>
      </c>
      <c r="B685" t="inlineStr">
        <is>
          <t>804127</t>
        </is>
      </c>
      <c r="C685" t="inlineStr">
        <is>
          <t>23 SCOOL RANGER MOCH KIDS TELA C/PVC PAW PATROL H M</t>
        </is>
      </c>
      <c r="D685" t="inlineStr">
        <is>
          <t>Librería y Oficina</t>
        </is>
      </c>
      <c r="E685" t="inlineStr">
        <is>
          <t>Mochilas y Cartucheras</t>
        </is>
      </c>
      <c r="F685" t="inlineStr">
        <is>
          <t>Mochilas Escolares</t>
        </is>
      </c>
      <c r="G685" s="8" t="n">
        <v>101.21</v>
      </c>
      <c r="H685" s="9" t="n">
        <v>3</v>
      </c>
      <c r="I685" t="n">
        <v>3</v>
      </c>
      <c r="J685" s="10" t="n">
        <v>46096</v>
      </c>
      <c r="K685" s="8" t="n">
        <v>33.74</v>
      </c>
      <c r="L685" s="6" t="inlineStr"/>
      <c r="M685" s="7">
        <f>IF(L685&gt;0,(K685-L685)/K685*100,"")</f>
        <v/>
      </c>
    </row>
    <row r="686">
      <c r="A686" s="2" t="n">
        <v>685</v>
      </c>
      <c r="B686" s="2" t="inlineStr">
        <is>
          <t>SLIM-01</t>
        </is>
      </c>
      <c r="C686" s="2" t="inlineStr">
        <is>
          <t>SLIME S/C</t>
        </is>
      </c>
      <c r="D686" s="2" t="inlineStr">
        <is>
          <t>Juguetes y Juegos</t>
        </is>
      </c>
      <c r="E686" s="2" t="inlineStr">
        <is>
          <t>Juguetes</t>
        </is>
      </c>
      <c r="F686" s="2" t="inlineStr">
        <is>
          <t>Slime y Masas</t>
        </is>
      </c>
      <c r="G686" s="3" t="n">
        <v>101</v>
      </c>
      <c r="H686" s="4" t="n">
        <v>51</v>
      </c>
      <c r="I686" s="2" t="n">
        <v>49</v>
      </c>
      <c r="J686" s="5" t="n">
        <v>46105</v>
      </c>
      <c r="K686" s="3" t="n">
        <v>1.98</v>
      </c>
      <c r="L686" s="6" t="inlineStr"/>
      <c r="M686" s="7">
        <f>IF(L686&gt;0,(K686-L686)/K686*100,"")</f>
        <v/>
      </c>
    </row>
    <row r="687">
      <c r="A687" t="n">
        <v>686</v>
      </c>
      <c r="B687" t="inlineStr">
        <is>
          <t>75356239281060</t>
        </is>
      </c>
      <c r="C687" t="inlineStr">
        <is>
          <t>BYWIN COLONIA X 250ML MONSTER, INC. LT.</t>
        </is>
      </c>
      <c r="D687" t="inlineStr">
        <is>
          <t>Belleza</t>
        </is>
      </c>
      <c r="E687" t="inlineStr">
        <is>
          <t>Perfumes y Fragancias</t>
        </is>
      </c>
      <c r="F687" t="inlineStr">
        <is>
          <t>Perfumes Infantiles con Licencia</t>
        </is>
      </c>
      <c r="G687" s="8" t="n">
        <v>100</v>
      </c>
      <c r="H687" s="9" t="n">
        <v>8</v>
      </c>
      <c r="I687" t="n">
        <v>8</v>
      </c>
      <c r="J687" s="10" t="n">
        <v>46171</v>
      </c>
      <c r="K687" s="8" t="n">
        <v>12.5</v>
      </c>
      <c r="L687" s="6" t="inlineStr"/>
      <c r="M687" s="7">
        <f>IF(L687&gt;0,(K687-L687)/K687*100,"")</f>
        <v/>
      </c>
    </row>
    <row r="688">
      <c r="A688" s="2" t="n">
        <v>687</v>
      </c>
      <c r="B688" s="2" t="inlineStr">
        <is>
          <t>7181-2</t>
        </is>
      </c>
      <c r="C688" s="2" t="inlineStr">
        <is>
          <t>JGT MUÑECA + ACCESORIOS</t>
        </is>
      </c>
      <c r="D688" s="2" t="inlineStr">
        <is>
          <t>Juguetes y Juegos</t>
        </is>
      </c>
      <c r="E688" s="2" t="inlineStr">
        <is>
          <t>Juguetes</t>
        </is>
      </c>
      <c r="F688" s="2" t="inlineStr">
        <is>
          <t>Juguetes Variados</t>
        </is>
      </c>
      <c r="G688" s="3" t="n">
        <v>99.8</v>
      </c>
      <c r="H688" s="4" t="n">
        <v>2</v>
      </c>
      <c r="I688" s="2" t="n">
        <v>2</v>
      </c>
      <c r="J688" s="5" t="n">
        <v>46136</v>
      </c>
      <c r="K688" s="3" t="n">
        <v>49.9</v>
      </c>
      <c r="L688" s="6" t="inlineStr"/>
      <c r="M688" s="7">
        <f>IF(L688&gt;0,(K688-L688)/K688*100,"")</f>
        <v/>
      </c>
    </row>
    <row r="689">
      <c r="A689" t="n">
        <v>688</v>
      </c>
      <c r="B689" t="inlineStr">
        <is>
          <t>ESC-24</t>
        </is>
      </c>
      <c r="C689" t="inlineStr">
        <is>
          <t>ART BLOCK PAPEL</t>
        </is>
      </c>
      <c r="D689" t="inlineStr">
        <is>
          <t>Librería y Oficina</t>
        </is>
      </c>
      <c r="E689" t="inlineStr">
        <is>
          <t>Útiles Escolares</t>
        </is>
      </c>
      <c r="F689" t="inlineStr">
        <is>
          <t>Cuadernos y Blocks</t>
        </is>
      </c>
      <c r="G689" s="8" t="n">
        <v>99</v>
      </c>
      <c r="H689" s="9" t="n">
        <v>18</v>
      </c>
      <c r="I689" t="n">
        <v>2</v>
      </c>
      <c r="J689" s="10" t="n">
        <v>46119</v>
      </c>
      <c r="K689" s="8" t="n">
        <v>5.5</v>
      </c>
      <c r="L689" s="6" t="inlineStr"/>
      <c r="M689" s="7">
        <f>IF(L689&gt;0,(K689-L689)/K689*100,"")</f>
        <v/>
      </c>
    </row>
    <row r="690">
      <c r="A690" s="2" t="n">
        <v>689</v>
      </c>
      <c r="B690" s="2" t="inlineStr">
        <is>
          <t>LA-G24006-1</t>
        </is>
      </c>
      <c r="C690" s="2" t="inlineStr">
        <is>
          <t>AZUCARERO CUADRADO</t>
        </is>
      </c>
      <c r="D690" s="2" t="inlineStr">
        <is>
          <t>Hogar y Decoración</t>
        </is>
      </c>
      <c r="E690" s="2" t="inlineStr">
        <is>
          <t>Menaje de Comedor</t>
        </is>
      </c>
      <c r="F690" s="2" t="inlineStr">
        <is>
          <t>Accesorios de Mesa</t>
        </is>
      </c>
      <c r="G690" s="3" t="n">
        <v>98.40000000000001</v>
      </c>
      <c r="H690" s="4" t="n">
        <v>18</v>
      </c>
      <c r="I690" s="2" t="n">
        <v>14</v>
      </c>
      <c r="J690" s="5" t="n">
        <v>46168</v>
      </c>
      <c r="K690" s="3" t="n">
        <v>5.49</v>
      </c>
      <c r="L690" s="6" t="inlineStr"/>
      <c r="M690" s="7">
        <f>IF(L690&gt;0,(K690-L690)/K690*100,"")</f>
        <v/>
      </c>
    </row>
    <row r="691">
      <c r="A691" t="n">
        <v>690</v>
      </c>
      <c r="B691" t="inlineStr">
        <is>
          <t>F-473</t>
        </is>
      </c>
      <c r="C691" t="inlineStr">
        <is>
          <t>TERMO</t>
        </is>
      </c>
      <c r="D691" t="inlineStr">
        <is>
          <t>Hogar y Decoración</t>
        </is>
      </c>
      <c r="E691" t="inlineStr">
        <is>
          <t>Menaje de Cocina</t>
        </is>
      </c>
      <c r="F691" t="inlineStr">
        <is>
          <t>Termos</t>
        </is>
      </c>
      <c r="G691" s="8" t="n">
        <v>98</v>
      </c>
      <c r="H691" s="9" t="n">
        <v>4</v>
      </c>
      <c r="I691" t="n">
        <v>4</v>
      </c>
      <c r="J691" s="10" t="n">
        <v>46160</v>
      </c>
      <c r="K691" s="8" t="n">
        <v>24.5</v>
      </c>
      <c r="L691" s="6" t="inlineStr"/>
      <c r="M691" s="7">
        <f>IF(L691&gt;0,(K691-L691)/K691*100,"")</f>
        <v/>
      </c>
    </row>
    <row r="692">
      <c r="A692" s="2" t="n">
        <v>691</v>
      </c>
      <c r="B692" s="2" t="inlineStr">
        <is>
          <t>805447</t>
        </is>
      </c>
      <c r="C692" s="2" t="inlineStr">
        <is>
          <t>26 SCOOL KOMBAT SET MALETA GDE EVA 3D POMPOMPURIN</t>
        </is>
      </c>
      <c r="D692" s="2" t="inlineStr">
        <is>
          <t>Librería y Oficina</t>
        </is>
      </c>
      <c r="E692" s="2" t="inlineStr">
        <is>
          <t>Mochilas y Cartucheras</t>
        </is>
      </c>
      <c r="F692" s="2" t="inlineStr">
        <is>
          <t>Mochilas Escolares</t>
        </is>
      </c>
      <c r="G692" s="3" t="n">
        <v>97.93000000000001</v>
      </c>
      <c r="H692" s="4" t="n">
        <v>1</v>
      </c>
      <c r="I692" s="2" t="n">
        <v>1</v>
      </c>
      <c r="J692" s="5" t="n">
        <v>46102</v>
      </c>
      <c r="K692" s="3" t="n">
        <v>97.93000000000001</v>
      </c>
      <c r="L692" s="6" t="inlineStr"/>
      <c r="M692" s="7">
        <f>IF(L692&gt;0,(K692-L692)/K692*100,"")</f>
        <v/>
      </c>
    </row>
    <row r="693">
      <c r="A693" t="n">
        <v>692</v>
      </c>
      <c r="B693" t="inlineStr">
        <is>
          <t>76106757886601</t>
        </is>
      </c>
      <c r="C693" t="inlineStr">
        <is>
          <t>BEBIDA DE JUGO DE MANGO TUNG SHAING 4</t>
        </is>
      </c>
      <c r="D693" t="inlineStr">
        <is>
          <t>Alimentos y Bebidas Importadas</t>
        </is>
      </c>
      <c r="E693" t="inlineStr">
        <is>
          <t>Bebidas Asiáticas</t>
        </is>
      </c>
      <c r="F693" t="inlineStr">
        <is>
          <t>Bubble Tea (Boba)</t>
        </is>
      </c>
      <c r="G693" s="8" t="n">
        <v>97.90000000000001</v>
      </c>
      <c r="H693" s="9" t="n">
        <v>11</v>
      </c>
      <c r="I693" t="n">
        <v>11</v>
      </c>
      <c r="J693" s="10" t="n">
        <v>46103</v>
      </c>
      <c r="K693" s="8" t="n">
        <v>8.9</v>
      </c>
      <c r="L693" s="6" t="inlineStr"/>
      <c r="M693" s="7">
        <f>IF(L693&gt;0,(K693-L693)/K693*100,"")</f>
        <v/>
      </c>
    </row>
    <row r="694">
      <c r="A694" s="2" t="n">
        <v>693</v>
      </c>
      <c r="B694" s="2" t="inlineStr">
        <is>
          <t>TP-4512</t>
        </is>
      </c>
      <c r="C694" s="2" t="inlineStr">
        <is>
          <t>Arena mágica</t>
        </is>
      </c>
      <c r="D694" s="2" t="inlineStr">
        <is>
          <t>Juguetes y Juegos</t>
        </is>
      </c>
      <c r="E694" s="2" t="inlineStr">
        <is>
          <t>Juguetes</t>
        </is>
      </c>
      <c r="F694" s="2" t="inlineStr">
        <is>
          <t>Juguetes Didácticos</t>
        </is>
      </c>
      <c r="G694" s="3" t="n">
        <v>96.59999999999999</v>
      </c>
      <c r="H694" s="4" t="n">
        <v>14</v>
      </c>
      <c r="I694" s="2" t="n">
        <v>12</v>
      </c>
      <c r="J694" s="5" t="n">
        <v>46096</v>
      </c>
      <c r="K694" s="3" t="n">
        <v>6.9</v>
      </c>
      <c r="L694" s="6" t="inlineStr"/>
      <c r="M694" s="7">
        <f>IF(L694&gt;0,(K694-L694)/K694*100,"")</f>
        <v/>
      </c>
    </row>
    <row r="695">
      <c r="A695" t="n">
        <v>694</v>
      </c>
      <c r="B695" t="inlineStr">
        <is>
          <t>704317</t>
        </is>
      </c>
      <c r="C695" t="inlineStr">
        <is>
          <t>25 SCOOL INV BOTELLA PP 590ML C/CAÑA SONIC</t>
        </is>
      </c>
      <c r="D695" t="inlineStr">
        <is>
          <t>Librería y Oficina</t>
        </is>
      </c>
      <c r="E695" t="inlineStr">
        <is>
          <t>Loncheras y Taperes Escolares</t>
        </is>
      </c>
      <c r="F695" t="inlineStr">
        <is>
          <t>Botellas Escolares</t>
        </is>
      </c>
      <c r="G695" s="8" t="n">
        <v>95.2</v>
      </c>
      <c r="H695" s="9" t="n">
        <v>8</v>
      </c>
      <c r="I695" t="n">
        <v>8</v>
      </c>
      <c r="J695" s="10" t="n">
        <v>46096</v>
      </c>
      <c r="K695" s="8" t="n">
        <v>11.9</v>
      </c>
      <c r="L695" s="6" t="inlineStr"/>
      <c r="M695" s="7">
        <f>IF(L695&gt;0,(K695-L695)/K695*100,"")</f>
        <v/>
      </c>
    </row>
    <row r="696">
      <c r="A696" s="2" t="n">
        <v>695</v>
      </c>
      <c r="B696" s="2" t="inlineStr">
        <is>
          <t>704161</t>
        </is>
      </c>
      <c r="C696" s="2" t="inlineStr">
        <is>
          <t>25 SCOOL BOT PP 590ML C/CAÑA DEMON SLAYER</t>
        </is>
      </c>
      <c r="D696" s="2" t="inlineStr">
        <is>
          <t>Librería y Oficina</t>
        </is>
      </c>
      <c r="E696" s="2" t="inlineStr">
        <is>
          <t>Loncheras y Taperes Escolares</t>
        </is>
      </c>
      <c r="F696" s="2" t="inlineStr">
        <is>
          <t>Botellas Escolares</t>
        </is>
      </c>
      <c r="G696" s="3" t="n">
        <v>95.2</v>
      </c>
      <c r="H696" s="4" t="n">
        <v>8</v>
      </c>
      <c r="I696" s="2" t="n">
        <v>8</v>
      </c>
      <c r="J696" s="5" t="n">
        <v>46094</v>
      </c>
      <c r="K696" s="3" t="n">
        <v>11.9</v>
      </c>
      <c r="L696" s="6" t="inlineStr"/>
      <c r="M696" s="7">
        <f>IF(L696&gt;0,(K696-L696)/K696*100,"")</f>
        <v/>
      </c>
    </row>
    <row r="697">
      <c r="A697" t="n">
        <v>696</v>
      </c>
      <c r="B697" t="inlineStr">
        <is>
          <t>PRY200045</t>
        </is>
      </c>
      <c r="C697" t="inlineStr">
        <is>
          <t>Papel Toalla Paracas Multiuso Verde 6x1 (PQTX6)</t>
        </is>
      </c>
      <c r="D697" t="inlineStr">
        <is>
          <t>Cuidado Personal y Salud</t>
        </is>
      </c>
      <c r="E697" t="inlineStr">
        <is>
          <t>Papel Higiénico y Servilletas</t>
        </is>
      </c>
      <c r="F697" t="inlineStr">
        <is>
          <t>Papel Toalla</t>
        </is>
      </c>
      <c r="G697" s="8" t="n">
        <v>94.8</v>
      </c>
      <c r="H697" s="9" t="n">
        <v>12</v>
      </c>
      <c r="I697" t="n">
        <v>11</v>
      </c>
      <c r="J697" s="10" t="n">
        <v>46132</v>
      </c>
      <c r="K697" s="8" t="n">
        <v>7.9</v>
      </c>
      <c r="L697" s="6" t="inlineStr"/>
      <c r="M697" s="7">
        <f>IF(L697&gt;0,(K697-L697)/K697*100,"")</f>
        <v/>
      </c>
    </row>
    <row r="698">
      <c r="A698" s="2" t="n">
        <v>697</v>
      </c>
      <c r="B698" s="2" t="inlineStr">
        <is>
          <t>74931682717986</t>
        </is>
      </c>
      <c r="C698" s="2" t="inlineStr">
        <is>
          <t>TONIFICANTE LOCIÓN DAYA</t>
        </is>
      </c>
      <c r="D698" s="2" t="inlineStr">
        <is>
          <t>Belleza</t>
        </is>
      </c>
      <c r="E698" s="2" t="inlineStr">
        <is>
          <t>Cuidado Facial</t>
        </is>
      </c>
      <c r="F698" s="2" t="inlineStr">
        <is>
          <t>Tónicos y Aguas Micelares</t>
        </is>
      </c>
      <c r="G698" s="3" t="n">
        <v>94.5</v>
      </c>
      <c r="H698" s="4" t="n">
        <v>5</v>
      </c>
      <c r="I698" s="2" t="n">
        <v>5</v>
      </c>
      <c r="J698" s="5" t="n">
        <v>46176</v>
      </c>
      <c r="K698" s="3" t="n">
        <v>18.9</v>
      </c>
      <c r="L698" s="6" t="inlineStr"/>
      <c r="M698" s="7">
        <f>IF(L698&gt;0,(K698-L698)/K698*100,"")</f>
        <v/>
      </c>
    </row>
    <row r="699">
      <c r="A699" t="n">
        <v>698</v>
      </c>
      <c r="B699" t="inlineStr">
        <is>
          <t>DFTC-22</t>
        </is>
      </c>
      <c r="C699" t="inlineStr">
        <is>
          <t>PLATO</t>
        </is>
      </c>
      <c r="D699" t="inlineStr">
        <is>
          <t>Hogar y Decoración</t>
        </is>
      </c>
      <c r="E699" t="inlineStr">
        <is>
          <t>Menaje de Comedor</t>
        </is>
      </c>
      <c r="F699" t="inlineStr">
        <is>
          <t>Platos y Fuentes</t>
        </is>
      </c>
      <c r="G699" s="8" t="n">
        <v>93.5</v>
      </c>
      <c r="H699" s="9" t="n">
        <v>17</v>
      </c>
      <c r="I699" t="n">
        <v>7</v>
      </c>
      <c r="J699" s="10" t="n">
        <v>46156</v>
      </c>
      <c r="K699" s="8" t="n">
        <v>5.5</v>
      </c>
      <c r="L699" s="6" t="inlineStr"/>
      <c r="M699" s="7">
        <f>IF(L699&gt;0,(K699-L699)/K699*100,"")</f>
        <v/>
      </c>
    </row>
    <row r="700">
      <c r="A700" s="2" t="n">
        <v>699</v>
      </c>
      <c r="B700" s="2" t="inlineStr">
        <is>
          <t>702312</t>
        </is>
      </c>
      <c r="C700" s="2" t="inlineStr">
        <is>
          <t>21 SCOOL TAPER CDRD 230ML LOL NEON_A</t>
        </is>
      </c>
      <c r="D700" s="2" t="inlineStr">
        <is>
          <t>Librería y Oficina</t>
        </is>
      </c>
      <c r="E700" s="2" t="inlineStr">
        <is>
          <t>Loncheras y Taperes Escolares</t>
        </is>
      </c>
      <c r="F700" s="2" t="inlineStr">
        <is>
          <t>Taperes Escolares</t>
        </is>
      </c>
      <c r="G700" s="3" t="n">
        <v>92.7</v>
      </c>
      <c r="H700" s="4" t="n">
        <v>19</v>
      </c>
      <c r="I700" s="2" t="n">
        <v>18</v>
      </c>
      <c r="J700" s="5" t="n">
        <v>46095</v>
      </c>
      <c r="K700" s="3" t="n">
        <v>4.88</v>
      </c>
      <c r="L700" s="6" t="inlineStr"/>
      <c r="M700" s="7">
        <f>IF(L700&gt;0,(K700-L700)/K700*100,"")</f>
        <v/>
      </c>
    </row>
    <row r="701">
      <c r="A701" t="n">
        <v>700</v>
      </c>
      <c r="B701" t="inlineStr">
        <is>
          <t>75755617574360</t>
        </is>
      </c>
      <c r="C701" t="inlineStr">
        <is>
          <t>Soju sabor Uva Morada Joju Botella 360ml</t>
        </is>
      </c>
      <c r="D701" t="inlineStr">
        <is>
          <t>Alimentos y Bebidas Importadas</t>
        </is>
      </c>
      <c r="E701" t="inlineStr">
        <is>
          <t>Licores Asiáticos</t>
        </is>
      </c>
      <c r="F701" t="inlineStr">
        <is>
          <t>Soju</t>
        </is>
      </c>
      <c r="G701" s="8" t="n">
        <v>89.40000000000001</v>
      </c>
      <c r="H701" s="9" t="n">
        <v>6</v>
      </c>
      <c r="I701" t="n">
        <v>6</v>
      </c>
      <c r="J701" s="10" t="n">
        <v>46103</v>
      </c>
      <c r="K701" s="8" t="n">
        <v>14.9</v>
      </c>
      <c r="L701" s="6" t="inlineStr"/>
      <c r="M701" s="7">
        <f>IF(L701&gt;0,(K701-L701)/K701*100,"")</f>
        <v/>
      </c>
    </row>
    <row r="702">
      <c r="A702" s="2" t="n">
        <v>701</v>
      </c>
      <c r="B702" s="2" t="inlineStr">
        <is>
          <t>120206</t>
        </is>
      </c>
      <c r="C702" s="2" t="inlineStr">
        <is>
          <t>ALIANZA EDT 30ML</t>
        </is>
      </c>
      <c r="D702" s="2" t="inlineStr">
        <is>
          <t>Belleza</t>
        </is>
      </c>
      <c r="E702" s="2" t="inlineStr">
        <is>
          <t>Perfumes y Fragancias</t>
        </is>
      </c>
      <c r="F702" s="2" t="inlineStr">
        <is>
          <t>Perfumes para Hombre</t>
        </is>
      </c>
      <c r="G702" s="3" t="n">
        <v>89.40000000000001</v>
      </c>
      <c r="H702" s="4" t="n">
        <v>6</v>
      </c>
      <c r="I702" s="2" t="n">
        <v>6</v>
      </c>
      <c r="J702" s="5" t="n">
        <v>46173</v>
      </c>
      <c r="K702" s="3" t="n">
        <v>14.9</v>
      </c>
      <c r="L702" s="6" t="inlineStr"/>
      <c r="M702" s="7">
        <f>IF(L702&gt;0,(K702-L702)/K702*100,"")</f>
        <v/>
      </c>
    </row>
    <row r="703">
      <c r="A703" t="n">
        <v>702</v>
      </c>
      <c r="B703" t="inlineStr">
        <is>
          <t>2559</t>
        </is>
      </c>
      <c r="C703" t="inlineStr">
        <is>
          <t>JGT PARA MASCOTA</t>
        </is>
      </c>
      <c r="D703" t="inlineStr">
        <is>
          <t>Mascotas</t>
        </is>
      </c>
      <c r="E703" t="inlineStr">
        <is>
          <t>Accesorios para Mascotas</t>
        </is>
      </c>
      <c r="F703" t="inlineStr">
        <is>
          <t>Accesorios y Juguetes para Mascotas</t>
        </is>
      </c>
      <c r="G703" s="8" t="n">
        <v>89.34999999999999</v>
      </c>
      <c r="H703" s="9" t="n">
        <v>36</v>
      </c>
      <c r="I703" t="n">
        <v>35</v>
      </c>
      <c r="J703" s="10" t="n">
        <v>46157</v>
      </c>
      <c r="K703" s="8" t="n">
        <v>2.48</v>
      </c>
      <c r="L703" s="6" t="inlineStr"/>
      <c r="M703" s="7">
        <f>IF(L703&gt;0,(K703-L703)/K703*100,"")</f>
        <v/>
      </c>
    </row>
    <row r="704">
      <c r="A704" s="2" t="n">
        <v>703</v>
      </c>
      <c r="B704" s="2" t="inlineStr">
        <is>
          <t>703226</t>
        </is>
      </c>
      <c r="C704" s="2" t="inlineStr">
        <is>
          <t>23 SCOOL INV TAPER 230 ML DRAGON BALL_A</t>
        </is>
      </c>
      <c r="D704" s="2" t="inlineStr">
        <is>
          <t>Librería y Oficina</t>
        </is>
      </c>
      <c r="E704" s="2" t="inlineStr">
        <is>
          <t>Loncheras y Taperes Escolares</t>
        </is>
      </c>
      <c r="F704" s="2" t="inlineStr">
        <is>
          <t>Taperes Escolares</t>
        </is>
      </c>
      <c r="G704" s="3" t="n">
        <v>88.2</v>
      </c>
      <c r="H704" s="4" t="n">
        <v>18</v>
      </c>
      <c r="I704" s="2" t="n">
        <v>18</v>
      </c>
      <c r="J704" s="5" t="n">
        <v>46096</v>
      </c>
      <c r="K704" s="3" t="n">
        <v>4.9</v>
      </c>
      <c r="L704" s="6" t="inlineStr"/>
      <c r="M704" s="7">
        <f>IF(L704&gt;0,(K704-L704)/K704*100,"")</f>
        <v/>
      </c>
    </row>
    <row r="705">
      <c r="A705" t="n">
        <v>704</v>
      </c>
      <c r="B705" t="inlineStr">
        <is>
          <t>4605</t>
        </is>
      </c>
      <c r="C705" t="inlineStr">
        <is>
          <t>ORGANIZADOR + ESPEJO</t>
        </is>
      </c>
      <c r="D705" t="inlineStr">
        <is>
          <t>Belleza</t>
        </is>
      </c>
      <c r="E705" t="inlineStr">
        <is>
          <t>Accesorios de Belleza</t>
        </is>
      </c>
      <c r="F705" t="inlineStr">
        <is>
          <t>Espejos</t>
        </is>
      </c>
      <c r="G705" s="8" t="n">
        <v>88.11</v>
      </c>
      <c r="H705" s="9" t="n">
        <v>10</v>
      </c>
      <c r="I705" t="n">
        <v>10</v>
      </c>
      <c r="J705" s="10" t="n">
        <v>46165</v>
      </c>
      <c r="K705" s="8" t="n">
        <v>8.81</v>
      </c>
      <c r="L705" s="6" t="inlineStr"/>
      <c r="M705" s="7">
        <f>IF(L705&gt;0,(K705-L705)/K705*100,"")</f>
        <v/>
      </c>
    </row>
    <row r="706">
      <c r="A706" s="2" t="n">
        <v>705</v>
      </c>
      <c r="B706" s="2" t="inlineStr">
        <is>
          <t>75349132342536</t>
        </is>
      </c>
      <c r="C706" s="2" t="inlineStr">
        <is>
          <t>BYWIN TOALLITAS HUMEDAS X 25 UND SPIDERMAN</t>
        </is>
      </c>
      <c r="D706" s="2" t="inlineStr">
        <is>
          <t>Cuidado Personal y Salud</t>
        </is>
      </c>
      <c r="E706" s="2" t="inlineStr">
        <is>
          <t>Toallitas Húmedas</t>
        </is>
      </c>
      <c r="F706" s="2" t="inlineStr">
        <is>
          <t>Toallitas Húmedas con Licencia</t>
        </is>
      </c>
      <c r="G706" s="3" t="n">
        <v>87.59999999999999</v>
      </c>
      <c r="H706" s="4" t="n">
        <v>73</v>
      </c>
      <c r="I706" s="2" t="n">
        <v>57</v>
      </c>
      <c r="J706" s="5" t="n">
        <v>46107</v>
      </c>
      <c r="K706" s="3" t="n">
        <v>1.2</v>
      </c>
      <c r="L706" s="6" t="inlineStr"/>
      <c r="M706" s="7">
        <f>IF(L706&gt;0,(K706-L706)/K706*100,"")</f>
        <v/>
      </c>
    </row>
    <row r="707">
      <c r="A707" t="n">
        <v>706</v>
      </c>
      <c r="B707" t="inlineStr">
        <is>
          <t>76754493008403</t>
        </is>
      </c>
      <c r="C707" t="inlineStr">
        <is>
          <t>SAKE SABOR DE MARACUYA 218ML CJ * 20</t>
        </is>
      </c>
      <c r="D707" t="inlineStr">
        <is>
          <t>Alimentos y Bebidas Importadas</t>
        </is>
      </c>
      <c r="E707" t="inlineStr">
        <is>
          <t>Licores Asiáticos</t>
        </is>
      </c>
      <c r="F707" t="inlineStr">
        <is>
          <t>Sake</t>
        </is>
      </c>
      <c r="G707" s="8" t="n">
        <v>87</v>
      </c>
      <c r="H707" s="9" t="n">
        <v>6</v>
      </c>
      <c r="I707" t="n">
        <v>6</v>
      </c>
      <c r="J707" s="10" t="n">
        <v>46146</v>
      </c>
      <c r="K707" s="8" t="n">
        <v>14.5</v>
      </c>
      <c r="L707" s="6" t="inlineStr"/>
      <c r="M707" s="7">
        <f>IF(L707&gt;0,(K707-L707)/K707*100,"")</f>
        <v/>
      </c>
    </row>
    <row r="708">
      <c r="A708" s="2" t="n">
        <v>707</v>
      </c>
      <c r="B708" s="2" t="inlineStr">
        <is>
          <t>360207</t>
        </is>
      </c>
      <c r="C708" s="2" t="inlineStr">
        <is>
          <t>ME TOO AMOUR EDT 50ML</t>
        </is>
      </c>
      <c r="D708" s="2" t="inlineStr">
        <is>
          <t>Belleza</t>
        </is>
      </c>
      <c r="E708" s="2" t="inlineStr">
        <is>
          <t>Perfumes y Fragancias</t>
        </is>
      </c>
      <c r="F708" s="2" t="inlineStr">
        <is>
          <t>Perfumes para Hombre</t>
        </is>
      </c>
      <c r="G708" s="3" t="n">
        <v>86.3</v>
      </c>
      <c r="H708" s="4" t="n">
        <v>5</v>
      </c>
      <c r="I708" s="2" t="n">
        <v>5</v>
      </c>
      <c r="J708" s="5" t="n">
        <v>46174</v>
      </c>
      <c r="K708" s="3" t="n">
        <v>17.26</v>
      </c>
      <c r="L708" s="6" t="inlineStr"/>
      <c r="M708" s="7">
        <f>IF(L708&gt;0,(K708-L708)/K708*100,"")</f>
        <v/>
      </c>
    </row>
    <row r="709">
      <c r="A709" t="n">
        <v>708</v>
      </c>
      <c r="B709" t="inlineStr">
        <is>
          <t>804463</t>
        </is>
      </c>
      <c r="C709" t="inlineStr">
        <is>
          <t>25 SCOOL RANGER SET MOCH OFICIO 2 BOL EVA 3D CINNAMOI</t>
        </is>
      </c>
      <c r="D709" t="inlineStr">
        <is>
          <t>Librería y Oficina</t>
        </is>
      </c>
      <c r="E709" t="inlineStr">
        <is>
          <t>Mochilas y Cartucheras</t>
        </is>
      </c>
      <c r="F709" t="inlineStr">
        <is>
          <t>Mochilas Escolares</t>
        </is>
      </c>
      <c r="G709" s="8" t="n">
        <v>85.5</v>
      </c>
      <c r="H709" s="9" t="n">
        <v>1</v>
      </c>
      <c r="I709" t="n">
        <v>1</v>
      </c>
      <c r="J709" s="10" t="n">
        <v>46097</v>
      </c>
      <c r="K709" s="8" t="n">
        <v>85.5</v>
      </c>
      <c r="L709" s="6" t="inlineStr"/>
      <c r="M709" s="7">
        <f>IF(L709&gt;0,(K709-L709)/K709*100,"")</f>
        <v/>
      </c>
    </row>
    <row r="710">
      <c r="A710" s="2" t="n">
        <v>709</v>
      </c>
      <c r="B710" s="2" t="inlineStr">
        <is>
          <t>MER-70</t>
        </is>
      </c>
      <c r="C710" s="2" t="inlineStr">
        <is>
          <t>LAPIZ JUMBO MERCIFAN</t>
        </is>
      </c>
      <c r="D710" s="2" t="inlineStr">
        <is>
          <t>Librería y Oficina</t>
        </is>
      </c>
      <c r="E710" s="2" t="inlineStr">
        <is>
          <t>Útiles Escolares</t>
        </is>
      </c>
      <c r="F710" s="2" t="inlineStr">
        <is>
          <t>Lápices y Lapiceros</t>
        </is>
      </c>
      <c r="G710" s="3" t="n">
        <v>85.5</v>
      </c>
      <c r="H710" s="4" t="n">
        <v>9</v>
      </c>
      <c r="I710" s="2" t="n">
        <v>9</v>
      </c>
      <c r="J710" s="5" t="n">
        <v>46115</v>
      </c>
      <c r="K710" s="3" t="n">
        <v>9.5</v>
      </c>
      <c r="L710" s="6" t="inlineStr"/>
      <c r="M710" s="7">
        <f>IF(L710&gt;0,(K710-L710)/K710*100,"")</f>
        <v/>
      </c>
    </row>
    <row r="711">
      <c r="A711" t="n">
        <v>710</v>
      </c>
      <c r="B711" t="inlineStr">
        <is>
          <t>804364</t>
        </is>
      </c>
      <c r="C711" t="inlineStr">
        <is>
          <t>25 SCOOL RANGER SET MOCH 2 BOL OFICIO EVA 3D DRAGON E 25 SCOOL RANGER SET MOCH OFICIO 2 BOL EVA 3D</t>
        </is>
      </c>
      <c r="D711" t="inlineStr">
        <is>
          <t>Librería y Oficina</t>
        </is>
      </c>
      <c r="E711" t="inlineStr">
        <is>
          <t>Mochilas y Cartucheras</t>
        </is>
      </c>
      <c r="F711" t="inlineStr">
        <is>
          <t>Mochilas Escolares</t>
        </is>
      </c>
      <c r="G711" s="8" t="n">
        <v>85.5</v>
      </c>
      <c r="H711" s="9" t="n">
        <v>1</v>
      </c>
      <c r="I711" t="n">
        <v>1</v>
      </c>
      <c r="J711" s="10" t="n">
        <v>46096</v>
      </c>
      <c r="K711" s="8" t="n">
        <v>85.5</v>
      </c>
      <c r="L711" s="6" t="inlineStr"/>
      <c r="M711" s="7">
        <f>IF(L711&gt;0,(K711-L711)/K711*100,"")</f>
        <v/>
      </c>
    </row>
    <row r="712">
      <c r="A712" s="2" t="n">
        <v>711</v>
      </c>
      <c r="B712" s="2" t="inlineStr">
        <is>
          <t>804663</t>
        </is>
      </c>
      <c r="C712" s="2" t="inlineStr">
        <is>
          <t>25 SCOOL RANGER SET MOCH DLX OFICIO EVA 3D SONIC MOVI</t>
        </is>
      </c>
      <c r="D712" s="2" t="inlineStr">
        <is>
          <t>Librería y Oficina</t>
        </is>
      </c>
      <c r="E712" s="2" t="inlineStr">
        <is>
          <t>Mochilas y Cartucheras</t>
        </is>
      </c>
      <c r="F712" s="2" t="inlineStr">
        <is>
          <t>Mochilas Escolares</t>
        </is>
      </c>
      <c r="G712" s="3" t="n">
        <v>85.5</v>
      </c>
      <c r="H712" s="4" t="n">
        <v>1</v>
      </c>
      <c r="I712" s="2" t="n">
        <v>1</v>
      </c>
      <c r="J712" s="5" t="n">
        <v>46092</v>
      </c>
      <c r="K712" s="3" t="n">
        <v>85.5</v>
      </c>
      <c r="L712" s="6" t="inlineStr"/>
      <c r="M712" s="7">
        <f>IF(L712&gt;0,(K712-L712)/K712*100,"")</f>
        <v/>
      </c>
    </row>
    <row r="713">
      <c r="A713" t="n">
        <v>712</v>
      </c>
      <c r="B713" t="inlineStr">
        <is>
          <t>AGB-120</t>
        </is>
      </c>
      <c r="C713" t="inlineStr">
        <is>
          <t>BASE ORALE BB CREAM</t>
        </is>
      </c>
      <c r="D713" t="inlineStr">
        <is>
          <t>Belleza</t>
        </is>
      </c>
      <c r="E713" t="inlineStr">
        <is>
          <t>Maquillaje y Cosméticos</t>
        </is>
      </c>
      <c r="F713" t="inlineStr">
        <is>
          <t>Base y Correctores</t>
        </is>
      </c>
      <c r="G713" s="8" t="n">
        <v>84.5</v>
      </c>
      <c r="H713" s="9" t="n">
        <v>13</v>
      </c>
      <c r="I713" t="n">
        <v>12</v>
      </c>
      <c r="J713" s="10" t="n">
        <v>46114</v>
      </c>
      <c r="K713" s="8" t="n">
        <v>6.5</v>
      </c>
      <c r="L713" s="6" t="inlineStr"/>
      <c r="M713" s="7">
        <f>IF(L713&gt;0,(K713-L713)/K713*100,"")</f>
        <v/>
      </c>
    </row>
    <row r="714">
      <c r="A714" s="2" t="n">
        <v>713</v>
      </c>
      <c r="B714" s="2" t="inlineStr">
        <is>
          <t>71022-173</t>
        </is>
      </c>
      <c r="C714" s="2" t="inlineStr">
        <is>
          <t>JGT SET MAQUILLADOR</t>
        </is>
      </c>
      <c r="D714" s="2" t="inlineStr">
        <is>
          <t>Juguetes y Juegos</t>
        </is>
      </c>
      <c r="E714" s="2" t="inlineStr">
        <is>
          <t>Juguetes</t>
        </is>
      </c>
      <c r="F714" s="2" t="inlineStr">
        <is>
          <t>Juguetes Variados</t>
        </is>
      </c>
      <c r="G714" s="3" t="n">
        <v>83.7</v>
      </c>
      <c r="H714" s="4" t="n">
        <v>3</v>
      </c>
      <c r="I714" s="2" t="n">
        <v>3</v>
      </c>
      <c r="J714" s="5" t="n">
        <v>46159</v>
      </c>
      <c r="K714" s="3" t="n">
        <v>27.9</v>
      </c>
      <c r="L714" s="6" t="inlineStr"/>
      <c r="M714" s="7">
        <f>IF(L714&gt;0,(K714-L714)/K714*100,"")</f>
        <v/>
      </c>
    </row>
    <row r="715">
      <c r="A715" t="n">
        <v>714</v>
      </c>
      <c r="B715" t="inlineStr">
        <is>
          <t>P015</t>
        </is>
      </c>
      <c r="C715" t="inlineStr">
        <is>
          <t>QUITA SARRO 4L</t>
        </is>
      </c>
      <c r="D715" t="inlineStr">
        <is>
          <t>Limpieza</t>
        </is>
      </c>
      <c r="E715" t="inlineStr">
        <is>
          <t>Limpiadores Específicos</t>
        </is>
      </c>
      <c r="F715" t="inlineStr">
        <is>
          <t>Ácidos y Quitasarros</t>
        </is>
      </c>
      <c r="G715" s="8" t="n">
        <v>83.40000000000001</v>
      </c>
      <c r="H715" s="9" t="n">
        <v>6</v>
      </c>
      <c r="I715" t="n">
        <v>6</v>
      </c>
      <c r="J715" s="10" t="n">
        <v>46103</v>
      </c>
      <c r="K715" s="8" t="n">
        <v>13.9</v>
      </c>
      <c r="L715" s="6" t="inlineStr"/>
      <c r="M715" s="7">
        <f>IF(L715&gt;0,(K715-L715)/K715*100,"")</f>
        <v/>
      </c>
    </row>
    <row r="716">
      <c r="A716" s="2" t="n">
        <v>715</v>
      </c>
      <c r="B716" s="2" t="inlineStr">
        <is>
          <t>LIMK-014</t>
        </is>
      </c>
      <c r="C716" s="2" t="inlineStr">
        <is>
          <t>DETERGENTELIQUIDO ROPA PET 900 CHEMI</t>
        </is>
      </c>
      <c r="D716" s="2" t="inlineStr">
        <is>
          <t>Limpieza</t>
        </is>
      </c>
      <c r="E716" s="2" t="inlineStr">
        <is>
          <t>Detergentes y Suavizantes</t>
        </is>
      </c>
      <c r="F716" s="2" t="inlineStr">
        <is>
          <t>Detergentes Líquidos</t>
        </is>
      </c>
      <c r="G716" s="3" t="n">
        <v>83.3</v>
      </c>
      <c r="H716" s="4" t="n">
        <v>17</v>
      </c>
      <c r="I716" s="2" t="n">
        <v>16</v>
      </c>
      <c r="J716" s="5" t="n">
        <v>46138</v>
      </c>
      <c r="K716" s="3" t="n">
        <v>4.9</v>
      </c>
      <c r="L716" s="6" t="inlineStr"/>
      <c r="M716" s="7">
        <f>IF(L716&gt;0,(K716-L716)/K716*100,"")</f>
        <v/>
      </c>
    </row>
    <row r="717">
      <c r="A717" t="n">
        <v>716</v>
      </c>
      <c r="B717" t="inlineStr">
        <is>
          <t>MS-2720</t>
        </is>
      </c>
      <c r="C717" t="inlineStr">
        <is>
          <t>TOMATODO PANDA DE NIÑOS 1L</t>
        </is>
      </c>
      <c r="D717" t="inlineStr">
        <is>
          <t>Hogar y Decoración</t>
        </is>
      </c>
      <c r="E717" t="inlineStr">
        <is>
          <t>Menaje de Cocina</t>
        </is>
      </c>
      <c r="F717" t="inlineStr">
        <is>
          <t>Tomatodos y Botellas</t>
        </is>
      </c>
      <c r="G717" s="8" t="n">
        <v>82.65000000000001</v>
      </c>
      <c r="H717" s="9" t="n">
        <v>9</v>
      </c>
      <c r="I717" t="n">
        <v>7</v>
      </c>
      <c r="J717" s="10" t="n">
        <v>46095</v>
      </c>
      <c r="K717" s="8" t="n">
        <v>9.359999999999999</v>
      </c>
      <c r="L717" s="6" t="inlineStr"/>
      <c r="M717" s="7">
        <f>IF(L717&gt;0,(K717-L717)/K717*100,"")</f>
        <v/>
      </c>
    </row>
    <row r="718">
      <c r="A718" s="2" t="n">
        <v>717</v>
      </c>
      <c r="B718" s="2" t="inlineStr">
        <is>
          <t>76754492945823</t>
        </is>
      </c>
      <c r="C718" s="2" t="inlineStr">
        <is>
          <t>CARAMELO RELL C/CREMA SABOR NARANJA</t>
        </is>
      </c>
      <c r="D718" s="2" t="inlineStr">
        <is>
          <t>Alimentos y Bebidas Importadas</t>
        </is>
      </c>
      <c r="E718" s="2" t="inlineStr">
        <is>
          <t>Snacks y Dulces Asiáticos</t>
        </is>
      </c>
      <c r="F718" s="2" t="inlineStr">
        <is>
          <t>Caramelos y Gomitas</t>
        </is>
      </c>
      <c r="G718" s="3" t="n">
        <v>81.90000000000001</v>
      </c>
      <c r="H718" s="4" t="n">
        <v>21</v>
      </c>
      <c r="I718" s="2" t="n">
        <v>20</v>
      </c>
      <c r="J718" s="5" t="n">
        <v>46102</v>
      </c>
      <c r="K718" s="3" t="n">
        <v>3.9</v>
      </c>
      <c r="L718" s="6" t="inlineStr"/>
      <c r="M718" s="7">
        <f>IF(L718&gt;0,(K718-L718)/K718*100,"")</f>
        <v/>
      </c>
    </row>
    <row r="719">
      <c r="A719" t="n">
        <v>718</v>
      </c>
      <c r="B719" t="inlineStr">
        <is>
          <t>130048</t>
        </is>
      </c>
      <c r="C719" t="inlineStr">
        <is>
          <t>ROLLO PAPEL</t>
        </is>
      </c>
      <c r="D719" t="inlineStr">
        <is>
          <t>Cuidado Personal y Salud</t>
        </is>
      </c>
      <c r="E719" t="inlineStr">
        <is>
          <t>Papel Higiénico y Servilletas</t>
        </is>
      </c>
      <c r="F719" t="inlineStr">
        <is>
          <t>Servilletas</t>
        </is>
      </c>
      <c r="G719" s="8" t="n">
        <v>80</v>
      </c>
      <c r="H719" s="9" t="n">
        <v>32</v>
      </c>
      <c r="I719" t="n">
        <v>29</v>
      </c>
      <c r="J719" s="10" t="n">
        <v>46111</v>
      </c>
      <c r="K719" s="8" t="n">
        <v>2.5</v>
      </c>
      <c r="L719" s="6" t="inlineStr"/>
      <c r="M719" s="7">
        <f>IF(L719&gt;0,(K719-L719)/K719*100,"")</f>
        <v/>
      </c>
    </row>
    <row r="720">
      <c r="A720" s="2" t="n">
        <v>719</v>
      </c>
      <c r="B720" s="2" t="inlineStr">
        <is>
          <t>AGC-120</t>
        </is>
      </c>
      <c r="C720" s="2" t="inlineStr">
        <is>
          <t>POLVO IMPACTO GLOW</t>
        </is>
      </c>
      <c r="D720" s="2" t="inlineStr">
        <is>
          <t>Belleza</t>
        </is>
      </c>
      <c r="E720" s="2" t="inlineStr">
        <is>
          <t>Maquillaje y Cosméticos</t>
        </is>
      </c>
      <c r="F720" s="2" t="inlineStr">
        <is>
          <t>Polvos y Rubores</t>
        </is>
      </c>
      <c r="G720" s="3" t="n">
        <v>79.34999999999999</v>
      </c>
      <c r="H720" s="4" t="n">
        <v>7</v>
      </c>
      <c r="I720" s="2" t="n">
        <v>7</v>
      </c>
      <c r="J720" s="5" t="n">
        <v>46122</v>
      </c>
      <c r="K720" s="3" t="n">
        <v>11.34</v>
      </c>
      <c r="L720" s="6" t="inlineStr"/>
      <c r="M720" s="7">
        <f>IF(L720&gt;0,(K720-L720)/K720*100,"")</f>
        <v/>
      </c>
    </row>
    <row r="721">
      <c r="A721" t="n">
        <v>720</v>
      </c>
      <c r="B721" t="inlineStr">
        <is>
          <t>300050845</t>
        </is>
      </c>
      <c r="C721" t="inlineStr">
        <is>
          <t>PORTA HUEVO</t>
        </is>
      </c>
      <c r="D721" t="inlineStr">
        <is>
          <t>Hogar y Decoración</t>
        </is>
      </c>
      <c r="E721" t="inlineStr">
        <is>
          <t>Menaje de Cocina</t>
        </is>
      </c>
      <c r="F721" t="inlineStr">
        <is>
          <t>Utensilios de Cocina</t>
        </is>
      </c>
      <c r="G721" s="8" t="n">
        <v>78.40000000000001</v>
      </c>
      <c r="H721" s="9" t="n">
        <v>16</v>
      </c>
      <c r="I721" t="n">
        <v>16</v>
      </c>
      <c r="J721" s="10" t="n">
        <v>46103</v>
      </c>
      <c r="K721" s="8" t="n">
        <v>4.9</v>
      </c>
      <c r="L721" s="6" t="inlineStr"/>
      <c r="M721" s="7">
        <f>IF(L721&gt;0,(K721-L721)/K721*100,"")</f>
        <v/>
      </c>
    </row>
    <row r="722">
      <c r="A722" s="2" t="n">
        <v>721</v>
      </c>
      <c r="B722" s="2" t="inlineStr">
        <is>
          <t>LJ-PO</t>
        </is>
      </c>
      <c r="C722" s="2" t="inlineStr">
        <is>
          <t>Lejía Patito Original 1kg (PQTX12)</t>
        </is>
      </c>
      <c r="D722" s="2" t="inlineStr">
        <is>
          <t>Limpieza</t>
        </is>
      </c>
      <c r="E722" s="2" t="inlineStr">
        <is>
          <t>Lejías y Desinfectantes</t>
        </is>
      </c>
      <c r="F722" s="2" t="inlineStr">
        <is>
          <t>Lejías</t>
        </is>
      </c>
      <c r="G722" s="3" t="n">
        <v>76.8</v>
      </c>
      <c r="H722" s="4" t="n">
        <v>24</v>
      </c>
      <c r="I722" s="2" t="n">
        <v>23</v>
      </c>
      <c r="J722" s="5" t="n">
        <v>46177</v>
      </c>
      <c r="K722" s="3" t="n">
        <v>3.2</v>
      </c>
      <c r="L722" s="6" t="inlineStr"/>
      <c r="M722" s="7">
        <f>IF(L722&gt;0,(K722-L722)/K722*100,"")</f>
        <v/>
      </c>
    </row>
    <row r="723">
      <c r="A723" t="n">
        <v>722</v>
      </c>
      <c r="B723" t="inlineStr">
        <is>
          <t>MER-1484</t>
        </is>
      </c>
      <c r="C723" t="inlineStr">
        <is>
          <t>DISPENSADOR HUESITO MERCY</t>
        </is>
      </c>
      <c r="D723" t="inlineStr">
        <is>
          <t>Librería y Oficina</t>
        </is>
      </c>
      <c r="E723" t="inlineStr">
        <is>
          <t>Útiles Escolares</t>
        </is>
      </c>
      <c r="F723" t="inlineStr">
        <is>
          <t>Cintas y Contact</t>
        </is>
      </c>
      <c r="G723" s="8" t="n">
        <v>76.7</v>
      </c>
      <c r="H723" s="9" t="n">
        <v>13</v>
      </c>
      <c r="I723" t="n">
        <v>13</v>
      </c>
      <c r="J723" s="10" t="n">
        <v>46093</v>
      </c>
      <c r="K723" s="8" t="n">
        <v>5.9</v>
      </c>
      <c r="L723" s="6" t="inlineStr"/>
      <c r="M723" s="7">
        <f>IF(L723&gt;0,(K723-L723)/K723*100,"")</f>
        <v/>
      </c>
    </row>
    <row r="724">
      <c r="A724" s="2" t="n">
        <v>723</v>
      </c>
      <c r="B724" s="2" t="inlineStr">
        <is>
          <t>P0038</t>
        </is>
      </c>
      <c r="C724" s="2" t="inlineStr">
        <is>
          <t>MOCHILA 3 EN 1 LICENCIA NIÑOS</t>
        </is>
      </c>
      <c r="D724" s="2" t="inlineStr">
        <is>
          <t>Librería y Oficina</t>
        </is>
      </c>
      <c r="E724" s="2" t="inlineStr">
        <is>
          <t>Mochilas y Cartucheras</t>
        </is>
      </c>
      <c r="F724" s="2" t="inlineStr">
        <is>
          <t>Mochilas Escolares</t>
        </is>
      </c>
      <c r="G724" s="3" t="n">
        <v>75</v>
      </c>
      <c r="H724" s="4" t="n">
        <v>1</v>
      </c>
      <c r="I724" s="2" t="n">
        <v>1</v>
      </c>
      <c r="J724" s="5" t="n">
        <v>46126</v>
      </c>
      <c r="K724" s="3" t="n">
        <v>75</v>
      </c>
      <c r="L724" s="6" t="inlineStr"/>
      <c r="M724" s="7">
        <f>IF(L724&gt;0,(K724-L724)/K724*100,"")</f>
        <v/>
      </c>
    </row>
    <row r="725">
      <c r="A725" t="n">
        <v>724</v>
      </c>
      <c r="B725" t="inlineStr">
        <is>
          <t>2916E/477</t>
        </is>
      </c>
      <c r="C725" t="inlineStr">
        <is>
          <t>BASE LIQUIDA MATTE 24H EVER BEAUTY (CJA X16 DOC)</t>
        </is>
      </c>
      <c r="D725" t="inlineStr">
        <is>
          <t>Belleza</t>
        </is>
      </c>
      <c r="E725" t="inlineStr">
        <is>
          <t>Maquillaje y Cosméticos</t>
        </is>
      </c>
      <c r="F725" t="inlineStr">
        <is>
          <t>Base y Correctores</t>
        </is>
      </c>
      <c r="G725" s="8" t="n">
        <v>74</v>
      </c>
      <c r="H725" s="9" t="n">
        <v>4</v>
      </c>
      <c r="I725" t="n">
        <v>4</v>
      </c>
      <c r="J725" s="10" t="n">
        <v>46117</v>
      </c>
      <c r="K725" s="8" t="n">
        <v>18.5</v>
      </c>
      <c r="L725" s="6" t="inlineStr"/>
      <c r="M725" s="7">
        <f>IF(L725&gt;0,(K725-L725)/K725*100,"")</f>
        <v/>
      </c>
    </row>
    <row r="726">
      <c r="A726" s="2" t="n">
        <v>725</v>
      </c>
      <c r="B726" s="2" t="inlineStr">
        <is>
          <t>PL-03</t>
        </is>
      </c>
      <c r="C726" s="2" t="inlineStr">
        <is>
          <t>COLADOR BEBE CON ASAS COLORES PASTEL</t>
        </is>
      </c>
      <c r="D726" s="2" t="inlineStr">
        <is>
          <t>Hogar y Decoración</t>
        </is>
      </c>
      <c r="E726" s="2" t="inlineStr">
        <is>
          <t>Menaje de Cocina</t>
        </is>
      </c>
      <c r="F726" s="2" t="inlineStr">
        <is>
          <t>Utensilios de Cocina</t>
        </is>
      </c>
      <c r="G726" s="3" t="n">
        <v>73.59999999999999</v>
      </c>
      <c r="H726" s="4" t="n">
        <v>39</v>
      </c>
      <c r="I726" s="2" t="n">
        <v>30</v>
      </c>
      <c r="J726" s="5" t="n">
        <v>46094</v>
      </c>
      <c r="K726" s="3" t="n">
        <v>1.9</v>
      </c>
      <c r="L726" s="6" t="inlineStr"/>
      <c r="M726" s="7">
        <f>IF(L726&gt;0,(K726-L726)/K726*100,"")</f>
        <v/>
      </c>
    </row>
    <row r="727">
      <c r="A727" t="n">
        <v>726</v>
      </c>
      <c r="B727" t="inlineStr">
        <is>
          <t>75720683971480</t>
        </is>
      </c>
      <c r="C727" t="inlineStr">
        <is>
          <t>Lejia 5.5% Queen 500ML</t>
        </is>
      </c>
      <c r="D727" t="inlineStr">
        <is>
          <t>Limpieza</t>
        </is>
      </c>
      <c r="E727" t="inlineStr">
        <is>
          <t>Lejías y Desinfectantes</t>
        </is>
      </c>
      <c r="F727" t="inlineStr">
        <is>
          <t>Lejías</t>
        </is>
      </c>
      <c r="G727" s="8" t="n">
        <v>70.3</v>
      </c>
      <c r="H727" s="9" t="n">
        <v>37</v>
      </c>
      <c r="I727" t="n">
        <v>30</v>
      </c>
      <c r="J727" s="10" t="n">
        <v>46098</v>
      </c>
      <c r="K727" s="8" t="n">
        <v>1.9</v>
      </c>
      <c r="L727" s="6" t="inlineStr"/>
      <c r="M727" s="7">
        <f>IF(L727&gt;0,(K727-L727)/K727*100,"")</f>
        <v/>
      </c>
    </row>
    <row r="728">
      <c r="A728" s="2" t="n">
        <v>727</v>
      </c>
      <c r="B728" s="2" t="inlineStr">
        <is>
          <t>PRY200071</t>
        </is>
      </c>
      <c r="C728" s="2" t="inlineStr">
        <is>
          <t>P. H. Higiénico Paracas DH Rojo x4 (PQTX6)</t>
        </is>
      </c>
      <c r="D728" s="2" t="inlineStr">
        <is>
          <t>Cuidado Personal y Salud</t>
        </is>
      </c>
      <c r="E728" s="2" t="inlineStr">
        <is>
          <t>Papel Higiénico y Servilletas</t>
        </is>
      </c>
      <c r="F728" s="2" t="inlineStr">
        <is>
          <t>Papel Higiénico</t>
        </is>
      </c>
      <c r="G728" s="3" t="n">
        <v>70.2</v>
      </c>
      <c r="H728" s="4" t="n">
        <v>18</v>
      </c>
      <c r="I728" s="2" t="n">
        <v>16</v>
      </c>
      <c r="J728" s="5" t="n">
        <v>46129</v>
      </c>
      <c r="K728" s="3" t="n">
        <v>3.9</v>
      </c>
      <c r="L728" s="6" t="inlineStr"/>
      <c r="M728" s="7">
        <f>IF(L728&gt;0,(K728-L728)/K728*100,"")</f>
        <v/>
      </c>
    </row>
    <row r="729">
      <c r="A729" t="n">
        <v>728</v>
      </c>
      <c r="B729" t="inlineStr">
        <is>
          <t>74931770179579</t>
        </is>
      </c>
      <c r="C729" t="inlineStr">
        <is>
          <t>ALMOHADA CAPIBARA</t>
        </is>
      </c>
      <c r="D729" t="inlineStr">
        <is>
          <t>Dormitorio</t>
        </is>
      </c>
      <c r="E729" t="inlineStr">
        <is>
          <t>Ropa de Cama</t>
        </is>
      </c>
      <c r="F729" t="inlineStr">
        <is>
          <t>Almohadas y Cojines</t>
        </is>
      </c>
      <c r="G729" s="8" t="n">
        <v>70</v>
      </c>
      <c r="H729" s="9" t="n">
        <v>7</v>
      </c>
      <c r="I729" t="n">
        <v>7</v>
      </c>
      <c r="J729" s="10" t="n">
        <v>46118</v>
      </c>
      <c r="K729" s="8" t="n">
        <v>10</v>
      </c>
      <c r="L729" s="6" t="inlineStr"/>
      <c r="M729" s="7">
        <f>IF(L729&gt;0,(K729-L729)/K729*100,"")</f>
        <v/>
      </c>
    </row>
    <row r="730">
      <c r="A730" s="2" t="n">
        <v>729</v>
      </c>
      <c r="B730" s="2" t="inlineStr">
        <is>
          <t>360227</t>
        </is>
      </c>
      <c r="C730" s="2" t="inlineStr">
        <is>
          <t>ME TOO LA BELLE EDT 50ML</t>
        </is>
      </c>
      <c r="D730" s="2" t="inlineStr">
        <is>
          <t>Belleza</t>
        </is>
      </c>
      <c r="E730" s="2" t="inlineStr">
        <is>
          <t>Perfumes y Fragancias</t>
        </is>
      </c>
      <c r="F730" s="2" t="inlineStr">
        <is>
          <t>Perfumes para Hombre</t>
        </is>
      </c>
      <c r="G730" s="3" t="n">
        <v>70</v>
      </c>
      <c r="H730" s="4" t="n">
        <v>4</v>
      </c>
      <c r="I730" s="2" t="n">
        <v>4</v>
      </c>
      <c r="J730" s="5" t="n">
        <v>46178</v>
      </c>
      <c r="K730" s="3" t="n">
        <v>17.5</v>
      </c>
      <c r="L730" s="6" t="inlineStr"/>
      <c r="M730" s="7">
        <f>IF(L730&gt;0,(K730-L730)/K730*100,"")</f>
        <v/>
      </c>
    </row>
    <row r="731">
      <c r="A731" t="n">
        <v>730</v>
      </c>
      <c r="B731" t="inlineStr">
        <is>
          <t>ESC-20</t>
        </is>
      </c>
      <c r="C731" t="inlineStr">
        <is>
          <t>BORRADOR BLANCO MERCYFAN PEQ.</t>
        </is>
      </c>
      <c r="D731" t="inlineStr">
        <is>
          <t>Librería y Oficina</t>
        </is>
      </c>
      <c r="E731" t="inlineStr">
        <is>
          <t>Útiles Escolares</t>
        </is>
      </c>
      <c r="F731" t="inlineStr">
        <is>
          <t>Borradores y Tajadores</t>
        </is>
      </c>
      <c r="G731" s="8" t="n">
        <v>69.90000000000001</v>
      </c>
      <c r="H731" s="9" t="n">
        <v>151</v>
      </c>
      <c r="I731" t="n">
        <v>29</v>
      </c>
      <c r="J731" s="10" t="n">
        <v>46103</v>
      </c>
      <c r="K731" s="8" t="n">
        <v>0.49</v>
      </c>
      <c r="L731" s="6" t="inlineStr"/>
      <c r="M731" s="7">
        <f>IF(L731&gt;0,(K731-L731)/K731*100,"")</f>
        <v/>
      </c>
    </row>
    <row r="732">
      <c r="A732" s="2" t="n">
        <v>731</v>
      </c>
      <c r="B732" s="2" t="inlineStr">
        <is>
          <t>EP-8690-1</t>
        </is>
      </c>
      <c r="C732" s="2" t="inlineStr">
        <is>
          <t>BILLETERA CAPIBARA</t>
        </is>
      </c>
      <c r="D732" s="2" t="inlineStr">
        <is>
          <t>Accesorios</t>
        </is>
      </c>
      <c r="E732" s="2" t="inlineStr">
        <is>
          <t>Accesorios Mujer</t>
        </is>
      </c>
      <c r="F732" s="2" t="inlineStr">
        <is>
          <t>Billetera</t>
        </is>
      </c>
      <c r="G732" s="3" t="n">
        <v>68.09999999999999</v>
      </c>
      <c r="H732" s="4" t="n">
        <v>10</v>
      </c>
      <c r="I732" s="2" t="n">
        <v>10</v>
      </c>
      <c r="J732" s="5" t="n">
        <v>46149</v>
      </c>
      <c r="K732" s="3" t="n">
        <v>6.81</v>
      </c>
      <c r="L732" s="6" t="inlineStr"/>
      <c r="M732" s="7">
        <f>IF(L732&gt;0,(K732-L732)/K732*100,"")</f>
        <v/>
      </c>
    </row>
    <row r="733">
      <c r="A733" t="n">
        <v>732</v>
      </c>
      <c r="B733" t="inlineStr">
        <is>
          <t>76106757698221</t>
        </is>
      </c>
      <c r="C733" t="inlineStr">
        <is>
          <t>FID ARROZ (HEFEN) INST S/CARNE PICANTE 1</t>
        </is>
      </c>
      <c r="D733" t="inlineStr">
        <is>
          <t>Alimentos y Bebidas Importadas</t>
        </is>
      </c>
      <c r="E733" t="inlineStr">
        <is>
          <t>Sopas y Fideos Instantáneos</t>
        </is>
      </c>
      <c r="F733" t="inlineStr">
        <is>
          <t>Fideos de Arroz</t>
        </is>
      </c>
      <c r="G733" s="8" t="n">
        <v>68</v>
      </c>
      <c r="H733" s="9" t="n">
        <v>8</v>
      </c>
      <c r="I733" t="n">
        <v>8</v>
      </c>
      <c r="J733" s="10" t="n">
        <v>46177</v>
      </c>
      <c r="K733" s="8" t="n">
        <v>8.5</v>
      </c>
      <c r="L733" s="6" t="inlineStr"/>
      <c r="M733" s="7">
        <f>IF(L733&gt;0,(K733-L733)/K733*100,"")</f>
        <v/>
      </c>
    </row>
    <row r="734">
      <c r="A734" s="2" t="n">
        <v>733</v>
      </c>
      <c r="B734" s="2" t="inlineStr">
        <is>
          <t>B1323</t>
        </is>
      </c>
      <c r="C734" s="2" t="inlineStr">
        <is>
          <t>FRUTERO</t>
        </is>
      </c>
      <c r="D734" s="2" t="inlineStr">
        <is>
          <t>Hogar y Decoración</t>
        </is>
      </c>
      <c r="E734" s="2" t="inlineStr">
        <is>
          <t>Menaje de Comedor</t>
        </is>
      </c>
      <c r="F734" s="2" t="inlineStr">
        <is>
          <t>Accesorios de Mesa</t>
        </is>
      </c>
      <c r="G734" s="3" t="n">
        <v>67.5</v>
      </c>
      <c r="H734" s="4" t="n">
        <v>9</v>
      </c>
      <c r="I734" s="2" t="n">
        <v>9</v>
      </c>
      <c r="J734" s="5" t="n">
        <v>46094</v>
      </c>
      <c r="K734" s="3" t="n">
        <v>7.5</v>
      </c>
      <c r="L734" s="6" t="inlineStr"/>
      <c r="M734" s="7">
        <f>IF(L734&gt;0,(K734-L734)/K734*100,"")</f>
        <v/>
      </c>
    </row>
    <row r="735">
      <c r="A735" t="n">
        <v>734</v>
      </c>
      <c r="B735" t="inlineStr">
        <is>
          <t>19901</t>
        </is>
      </c>
      <c r="C735" t="inlineStr">
        <is>
          <t>JGT BLISTER JUEGO SALA</t>
        </is>
      </c>
      <c r="D735" t="inlineStr">
        <is>
          <t>Juguetes y Juegos</t>
        </is>
      </c>
      <c r="E735" t="inlineStr">
        <is>
          <t>Juguetes</t>
        </is>
      </c>
      <c r="F735" t="inlineStr">
        <is>
          <t>Juguetes Variados</t>
        </is>
      </c>
      <c r="G735" s="8" t="n">
        <v>66.7</v>
      </c>
      <c r="H735" s="9" t="n">
        <v>23</v>
      </c>
      <c r="I735" t="n">
        <v>17</v>
      </c>
      <c r="J735" s="10" t="n">
        <v>46173</v>
      </c>
      <c r="K735" s="8" t="n">
        <v>2.9</v>
      </c>
      <c r="L735" s="6" t="inlineStr"/>
      <c r="M735" s="7">
        <f>IF(L735&gt;0,(K735-L735)/K735*100,"")</f>
        <v/>
      </c>
    </row>
    <row r="736">
      <c r="A736" s="2" t="n">
        <v>735</v>
      </c>
      <c r="B736" s="2" t="inlineStr">
        <is>
          <t>ESC-12</t>
        </is>
      </c>
      <c r="C736" s="2" t="inlineStr">
        <is>
          <t>ART BLOCK LUSTRE PEQUEÑO</t>
        </is>
      </c>
      <c r="D736" s="2" t="inlineStr">
        <is>
          <t>Librería y Oficina</t>
        </is>
      </c>
      <c r="E736" s="2" t="inlineStr">
        <is>
          <t>Útiles Escolares</t>
        </is>
      </c>
      <c r="F736" s="2" t="inlineStr">
        <is>
          <t>Cuadernos y Blocks</t>
        </is>
      </c>
      <c r="G736" s="3" t="n">
        <v>66.5</v>
      </c>
      <c r="H736" s="4" t="n">
        <v>19</v>
      </c>
      <c r="I736" s="2" t="n">
        <v>8</v>
      </c>
      <c r="J736" s="5" t="n">
        <v>46145</v>
      </c>
      <c r="K736" s="3" t="n">
        <v>3.5</v>
      </c>
      <c r="L736" s="6" t="inlineStr"/>
      <c r="M736" s="7">
        <f>IF(L736&gt;0,(K736-L736)/K736*100,"")</f>
        <v/>
      </c>
    </row>
    <row r="737">
      <c r="A737" t="n">
        <v>736</v>
      </c>
      <c r="B737" t="inlineStr">
        <is>
          <t>ARC-KC02</t>
        </is>
      </c>
      <c r="C737" t="inlineStr">
        <is>
          <t>SET GLOBO</t>
        </is>
      </c>
      <c r="D737" t="inlineStr">
        <is>
          <t>Fiestas y Cumpleaños</t>
        </is>
      </c>
      <c r="E737" t="inlineStr">
        <is>
          <t>Cumpleaños</t>
        </is>
      </c>
      <c r="F737" t="inlineStr">
        <is>
          <t>Globos e Infladores</t>
        </is>
      </c>
      <c r="G737" s="8" t="n">
        <v>66</v>
      </c>
      <c r="H737" s="9" t="n">
        <v>12</v>
      </c>
      <c r="I737" t="n">
        <v>10</v>
      </c>
      <c r="J737" s="10" t="n">
        <v>46172</v>
      </c>
      <c r="K737" s="8" t="n">
        <v>5.5</v>
      </c>
      <c r="L737" s="6" t="inlineStr"/>
      <c r="M737" s="7">
        <f>IF(L737&gt;0,(K737-L737)/K737*100,"")</f>
        <v/>
      </c>
    </row>
    <row r="738">
      <c r="A738" s="2" t="n">
        <v>737</v>
      </c>
      <c r="B738" s="2" t="inlineStr">
        <is>
          <t>BW60397</t>
        </is>
      </c>
      <c r="C738" s="2" t="inlineStr">
        <is>
          <t>TOALLITAS HUMEDAS X 100 UND FURBY</t>
        </is>
      </c>
      <c r="D738" s="2" t="inlineStr">
        <is>
          <t>Cuidado Personal y Salud</t>
        </is>
      </c>
      <c r="E738" s="2" t="inlineStr">
        <is>
          <t>Toallitas Húmedas</t>
        </is>
      </c>
      <c r="F738" s="2" t="inlineStr">
        <is>
          <t>Toallitas Húmedas con Licencia</t>
        </is>
      </c>
      <c r="G738" s="3" t="n">
        <v>64.8</v>
      </c>
      <c r="H738" s="4" t="n">
        <v>18</v>
      </c>
      <c r="I738" s="2" t="n">
        <v>15</v>
      </c>
      <c r="J738" s="5" t="n">
        <v>46177</v>
      </c>
      <c r="K738" s="3" t="n">
        <v>3.6</v>
      </c>
      <c r="L738" s="6" t="inlineStr"/>
      <c r="M738" s="7">
        <f>IF(L738&gt;0,(K738-L738)/K738*100,"")</f>
        <v/>
      </c>
    </row>
    <row r="739">
      <c r="A739" t="n">
        <v>738</v>
      </c>
      <c r="B739" t="inlineStr">
        <is>
          <t>LE24</t>
        </is>
      </c>
      <c r="C739" t="inlineStr">
        <is>
          <t>DESODORANTE SPRAY MUJER PIEL SENSIBLE</t>
        </is>
      </c>
      <c r="D739" t="inlineStr">
        <is>
          <t>Cuidado Personal y Salud</t>
        </is>
      </c>
      <c r="E739" t="inlineStr">
        <is>
          <t>Higiene Personal</t>
        </is>
      </c>
      <c r="F739" t="inlineStr">
        <is>
          <t>Desodorantes</t>
        </is>
      </c>
      <c r="G739" s="8" t="n">
        <v>64.5</v>
      </c>
      <c r="H739" s="9" t="n">
        <v>5</v>
      </c>
      <c r="I739" t="n">
        <v>4</v>
      </c>
      <c r="J739" s="10" t="n">
        <v>46122</v>
      </c>
      <c r="K739" s="8" t="n">
        <v>12.9</v>
      </c>
      <c r="L739" s="6" t="inlineStr"/>
      <c r="M739" s="7">
        <f>IF(L739&gt;0,(K739-L739)/K739*100,"")</f>
        <v/>
      </c>
    </row>
    <row r="740">
      <c r="A740" s="2" t="n">
        <v>739</v>
      </c>
      <c r="B740" s="2" t="inlineStr">
        <is>
          <t>EFAV</t>
        </is>
      </c>
      <c r="C740" s="2" t="inlineStr">
        <is>
          <t>ESPUMA FACIAL VITAMINA C</t>
        </is>
      </c>
      <c r="D740" s="2" t="inlineStr">
        <is>
          <t>Belleza</t>
        </is>
      </c>
      <c r="E740" s="2" t="inlineStr">
        <is>
          <t>Cuidado Facial</t>
        </is>
      </c>
      <c r="F740" s="2" t="inlineStr">
        <is>
          <t>Limpieza Facial</t>
        </is>
      </c>
      <c r="G740" s="3" t="n">
        <v>63.6</v>
      </c>
      <c r="H740" s="4" t="n">
        <v>4</v>
      </c>
      <c r="I740" s="2" t="n">
        <v>4</v>
      </c>
      <c r="J740" s="5" t="n">
        <v>46133</v>
      </c>
      <c r="K740" s="3" t="n">
        <v>15.9</v>
      </c>
      <c r="L740" s="6" t="inlineStr"/>
      <c r="M740" s="7">
        <f>IF(L740&gt;0,(K740-L740)/K740*100,"")</f>
        <v/>
      </c>
    </row>
    <row r="741">
      <c r="A741" t="n">
        <v>740</v>
      </c>
      <c r="B741" t="inlineStr">
        <is>
          <t>ROMA-1CM</t>
        </is>
      </c>
      <c r="C741" t="inlineStr">
        <is>
          <t>DETERGENTE PATITO LIMON 140GR</t>
        </is>
      </c>
      <c r="D741" t="inlineStr">
        <is>
          <t>Limpieza</t>
        </is>
      </c>
      <c r="E741" t="inlineStr">
        <is>
          <t>Detergentes y Suavizantes</t>
        </is>
      </c>
      <c r="F741" t="inlineStr">
        <is>
          <t>Detergentes en Polvo</t>
        </is>
      </c>
      <c r="G741" s="8" t="n">
        <v>63.6</v>
      </c>
      <c r="H741" s="9" t="n">
        <v>53</v>
      </c>
      <c r="I741" t="n">
        <v>33</v>
      </c>
      <c r="J741" s="10" t="n">
        <v>46178</v>
      </c>
      <c r="K741" s="8" t="n">
        <v>1.2</v>
      </c>
      <c r="L741" s="6" t="inlineStr"/>
      <c r="M741" s="7">
        <f>IF(L741&gt;0,(K741-L741)/K741*100,"")</f>
        <v/>
      </c>
    </row>
    <row r="742">
      <c r="A742" s="2" t="n">
        <v>741</v>
      </c>
      <c r="B742" s="2" t="inlineStr">
        <is>
          <t>JA-FL</t>
        </is>
      </c>
      <c r="C742" s="2" t="inlineStr">
        <is>
          <t>Jabón Líquido Aval Fresco Limon 400ML</t>
        </is>
      </c>
      <c r="D742" s="2" t="inlineStr">
        <is>
          <t>Cuidado Personal y Salud</t>
        </is>
      </c>
      <c r="E742" s="2" t="inlineStr">
        <is>
          <t>Higiene Personal</t>
        </is>
      </c>
      <c r="F742" s="2" t="inlineStr">
        <is>
          <t>Jabones Liquido para Manos</t>
        </is>
      </c>
      <c r="G742" s="3" t="n">
        <v>63.6</v>
      </c>
      <c r="H742" s="4" t="n">
        <v>12</v>
      </c>
      <c r="I742" s="2" t="n">
        <v>12</v>
      </c>
      <c r="J742" s="5" t="n">
        <v>46125</v>
      </c>
      <c r="K742" s="3" t="n">
        <v>5.3</v>
      </c>
      <c r="L742" s="6" t="inlineStr"/>
      <c r="M742" s="7">
        <f>IF(L742&gt;0,(K742-L742)/K742*100,"")</f>
        <v/>
      </c>
    </row>
    <row r="743">
      <c r="A743" t="n">
        <v>742</v>
      </c>
      <c r="B743" t="inlineStr">
        <is>
          <t>PL-17</t>
        </is>
      </c>
      <c r="C743" t="inlineStr">
        <is>
          <t>PORTAHUEVOS CARAMELO</t>
        </is>
      </c>
      <c r="D743" t="inlineStr">
        <is>
          <t>Abarrotes</t>
        </is>
      </c>
      <c r="E743" t="inlineStr">
        <is>
          <t>Dulces y Chocolates</t>
        </is>
      </c>
      <c r="F743" t="inlineStr">
        <is>
          <t>Caramelos</t>
        </is>
      </c>
      <c r="G743" s="8" t="n">
        <v>63</v>
      </c>
      <c r="H743" s="9" t="n">
        <v>14</v>
      </c>
      <c r="I743" t="n">
        <v>13</v>
      </c>
      <c r="J743" s="10" t="n">
        <v>46123</v>
      </c>
      <c r="K743" s="8" t="n">
        <v>4.5</v>
      </c>
      <c r="L743" s="6" t="inlineStr"/>
      <c r="M743" s="7">
        <f>IF(L743&gt;0,(K743-L743)/K743*100,"")</f>
        <v/>
      </c>
    </row>
    <row r="744">
      <c r="A744" s="2" t="n">
        <v>743</v>
      </c>
      <c r="B744" s="2" t="inlineStr">
        <is>
          <t>270818</t>
        </is>
      </c>
      <c r="C744" s="2" t="inlineStr">
        <is>
          <t>SKY COOL BODY SPRAY 150ML</t>
        </is>
      </c>
      <c r="D744" s="2" t="inlineStr">
        <is>
          <t>Belleza</t>
        </is>
      </c>
      <c r="E744" s="2" t="inlineStr">
        <is>
          <t>Perfumes y Fragancias</t>
        </is>
      </c>
      <c r="F744" s="2" t="inlineStr">
        <is>
          <t>Splashes y Colonias Corporales</t>
        </is>
      </c>
      <c r="G744" s="3" t="n">
        <v>62.3</v>
      </c>
      <c r="H744" s="4" t="n">
        <v>7</v>
      </c>
      <c r="I744" s="2" t="n">
        <v>7</v>
      </c>
      <c r="J744" s="5" t="n">
        <v>46178</v>
      </c>
      <c r="K744" s="3" t="n">
        <v>8.9</v>
      </c>
      <c r="L744" s="6" t="inlineStr"/>
      <c r="M744" s="7">
        <f>IF(L744&gt;0,(K744-L744)/K744*100,"")</f>
        <v/>
      </c>
    </row>
    <row r="745">
      <c r="A745" t="n">
        <v>744</v>
      </c>
      <c r="B745" t="inlineStr">
        <is>
          <t>76754493126773</t>
        </is>
      </c>
      <c r="C745" t="inlineStr">
        <is>
          <t>SOPA INST B/DE AVENA CON S/RES CON TOM</t>
        </is>
      </c>
      <c r="D745" t="inlineStr">
        <is>
          <t>Alimentos y Bebidas Importadas</t>
        </is>
      </c>
      <c r="E745" t="inlineStr">
        <is>
          <t>Sopas y Fideos Instantáneos</t>
        </is>
      </c>
      <c r="F745" t="inlineStr">
        <is>
          <t>Sopas Instantáneas</t>
        </is>
      </c>
      <c r="G745" s="8" t="n">
        <v>60</v>
      </c>
      <c r="H745" s="9" t="n">
        <v>12</v>
      </c>
      <c r="I745" t="n">
        <v>11</v>
      </c>
      <c r="J745" s="10" t="n">
        <v>46161</v>
      </c>
      <c r="K745" s="8" t="n">
        <v>5</v>
      </c>
      <c r="L745" s="6" t="inlineStr"/>
      <c r="M745" s="7">
        <f>IF(L745&gt;0,(K745-L745)/K745*100,"")</f>
        <v/>
      </c>
    </row>
    <row r="746">
      <c r="A746" s="2" t="n">
        <v>745</v>
      </c>
      <c r="B746" s="2" t="inlineStr">
        <is>
          <t>ESC-A3</t>
        </is>
      </c>
      <c r="C746" s="2" t="inlineStr">
        <is>
          <t>BLOCK ARCOIRIS YIMY</t>
        </is>
      </c>
      <c r="D746" s="2" t="inlineStr">
        <is>
          <t>Librería y Oficina</t>
        </is>
      </c>
      <c r="E746" s="2" t="inlineStr">
        <is>
          <t>Útiles Escolares</t>
        </is>
      </c>
      <c r="F746" s="2" t="inlineStr">
        <is>
          <t>Cuadernos y Blocks</t>
        </is>
      </c>
      <c r="G746" s="3" t="n">
        <v>60</v>
      </c>
      <c r="H746" s="4" t="n">
        <v>8</v>
      </c>
      <c r="I746" s="2" t="n">
        <v>7</v>
      </c>
      <c r="J746" s="5" t="n">
        <v>46103</v>
      </c>
      <c r="K746" s="3" t="n">
        <v>7.5</v>
      </c>
      <c r="L746" s="6" t="inlineStr"/>
      <c r="M746" s="7">
        <f>IF(L746&gt;0,(K746-L746)/K746*100,"")</f>
        <v/>
      </c>
    </row>
    <row r="747">
      <c r="A747" t="n">
        <v>746</v>
      </c>
      <c r="B747" t="inlineStr">
        <is>
          <t>76203884642399</t>
        </is>
      </c>
      <c r="C747" t="inlineStr">
        <is>
          <t>Gomitas Ambrosoli Ambrosito Acido</t>
        </is>
      </c>
      <c r="D747" t="inlineStr">
        <is>
          <t>Abarrotes</t>
        </is>
      </c>
      <c r="E747" t="inlineStr">
        <is>
          <t>Dulces y Chocolates</t>
        </is>
      </c>
      <c r="F747" t="inlineStr">
        <is>
          <t>Gomitas</t>
        </is>
      </c>
      <c r="G747" s="8" t="n">
        <v>60</v>
      </c>
      <c r="H747" s="9" t="n">
        <v>24</v>
      </c>
      <c r="I747" t="n">
        <v>23</v>
      </c>
      <c r="J747" s="10" t="n">
        <v>46103</v>
      </c>
      <c r="K747" s="8" t="n">
        <v>2.5</v>
      </c>
      <c r="L747" s="6" t="inlineStr"/>
      <c r="M747" s="7">
        <f>IF(L747&gt;0,(K747-L747)/K747*100,"")</f>
        <v/>
      </c>
    </row>
    <row r="748">
      <c r="A748" s="2" t="n">
        <v>747</v>
      </c>
      <c r="B748" s="2" t="inlineStr">
        <is>
          <t>MOL801869</t>
        </is>
      </c>
      <c r="C748" s="2" t="inlineStr">
        <is>
          <t>Caramelo Ambrosoli Fruna Personal 72Gr (PQTX12)</t>
        </is>
      </c>
      <c r="D748" s="2" t="inlineStr">
        <is>
          <t>Abarrotes</t>
        </is>
      </c>
      <c r="E748" s="2" t="inlineStr">
        <is>
          <t>Dulces y Chocolates</t>
        </is>
      </c>
      <c r="F748" s="2" t="inlineStr">
        <is>
          <t>Caramelos</t>
        </is>
      </c>
      <c r="G748" s="3" t="n">
        <v>60</v>
      </c>
      <c r="H748" s="4" t="n">
        <v>24</v>
      </c>
      <c r="I748" s="2" t="n">
        <v>22</v>
      </c>
      <c r="J748" s="5" t="n">
        <v>46143</v>
      </c>
      <c r="K748" s="3" t="n">
        <v>2.5</v>
      </c>
      <c r="L748" s="6" t="inlineStr"/>
      <c r="M748" s="7">
        <f>IF(L748&gt;0,(K748-L748)/K748*100,"")</f>
        <v/>
      </c>
    </row>
    <row r="749">
      <c r="A749" t="n">
        <v>748</v>
      </c>
      <c r="B749" t="inlineStr">
        <is>
          <t>MC301</t>
        </is>
      </c>
      <c r="C749" t="inlineStr">
        <is>
          <t>JGT SET BLOQUE DIDACTICO</t>
        </is>
      </c>
      <c r="D749" t="inlineStr">
        <is>
          <t>Juguetes y Juegos</t>
        </is>
      </c>
      <c r="E749" t="inlineStr">
        <is>
          <t>Juguetes</t>
        </is>
      </c>
      <c r="F749" t="inlineStr">
        <is>
          <t>Juguetes Variados</t>
        </is>
      </c>
      <c r="G749" s="8" t="n">
        <v>59.9</v>
      </c>
      <c r="H749" s="9" t="n">
        <v>1</v>
      </c>
      <c r="I749" t="n">
        <v>1</v>
      </c>
      <c r="J749" s="10" t="n">
        <v>46114</v>
      </c>
      <c r="K749" s="8" t="n">
        <v>59.9</v>
      </c>
      <c r="L749" s="6" t="inlineStr"/>
      <c r="M749" s="7">
        <f>IF(L749&gt;0,(K749-L749)/K749*100,"")</f>
        <v/>
      </c>
    </row>
    <row r="750">
      <c r="A750" s="2" t="n">
        <v>749</v>
      </c>
      <c r="B750" s="2" t="inlineStr">
        <is>
          <t>MER-49</t>
        </is>
      </c>
      <c r="C750" s="2" t="inlineStr">
        <is>
          <t>CHEQUEO JUMBO X12</t>
        </is>
      </c>
      <c r="D750" s="2" t="inlineStr">
        <is>
          <t>Librería y Oficina</t>
        </is>
      </c>
      <c r="E750" s="2" t="inlineStr">
        <is>
          <t>Útiles Escolares</t>
        </is>
      </c>
      <c r="F750" s="2" t="inlineStr">
        <is>
          <t>Colores y Crayolas</t>
        </is>
      </c>
      <c r="G750" s="3" t="n">
        <v>59</v>
      </c>
      <c r="H750" s="4" t="n">
        <v>10</v>
      </c>
      <c r="I750" s="2" t="n">
        <v>9</v>
      </c>
      <c r="J750" s="5" t="n">
        <v>46101</v>
      </c>
      <c r="K750" s="3" t="n">
        <v>5.9</v>
      </c>
      <c r="L750" s="6" t="inlineStr"/>
      <c r="M750" s="7">
        <f>IF(L750&gt;0,(K750-L750)/K750*100,"")</f>
        <v/>
      </c>
    </row>
    <row r="751">
      <c r="A751" t="n">
        <v>750</v>
      </c>
      <c r="B751" t="inlineStr">
        <is>
          <t>703219</t>
        </is>
      </c>
      <c r="C751" t="inlineStr">
        <is>
          <t>23 SCOOL INV TAPER 230 ML JURASSIC A</t>
        </is>
      </c>
      <c r="D751" t="inlineStr">
        <is>
          <t>Librería y Oficina</t>
        </is>
      </c>
      <c r="E751" t="inlineStr">
        <is>
          <t>Loncheras y Taperes Escolares</t>
        </is>
      </c>
      <c r="F751" t="inlineStr">
        <is>
          <t>Taperes Escolares</t>
        </is>
      </c>
      <c r="G751" s="8" t="n">
        <v>58.8</v>
      </c>
      <c r="H751" s="9" t="n">
        <v>12</v>
      </c>
      <c r="I751" t="n">
        <v>10</v>
      </c>
      <c r="J751" s="10" t="n">
        <v>46097</v>
      </c>
      <c r="K751" s="8" t="n">
        <v>4.9</v>
      </c>
      <c r="L751" s="6" t="inlineStr"/>
      <c r="M751" s="7">
        <f>IF(L751&gt;0,(K751-L751)/K751*100,"")</f>
        <v/>
      </c>
    </row>
    <row r="752">
      <c r="A752" s="2" t="n">
        <v>751</v>
      </c>
      <c r="B752" s="2" t="inlineStr">
        <is>
          <t>AR-01729</t>
        </is>
      </c>
      <c r="C752" s="2" t="inlineStr">
        <is>
          <t>PLUMON PERMANENTE TWINS DOBLE PUNTA NEGRO</t>
        </is>
      </c>
      <c r="D752" s="2" t="inlineStr">
        <is>
          <t>Librería y Oficina</t>
        </is>
      </c>
      <c r="E752" s="2" t="inlineStr">
        <is>
          <t>Útiles Escolares</t>
        </is>
      </c>
      <c r="F752" s="2" t="inlineStr">
        <is>
          <t>Plumones y Marcadores</t>
        </is>
      </c>
      <c r="G752" s="3" t="n">
        <v>58.62</v>
      </c>
      <c r="H752" s="4" t="n">
        <v>49</v>
      </c>
      <c r="I752" s="2" t="n">
        <v>38</v>
      </c>
      <c r="J752" s="5" t="n">
        <v>46118</v>
      </c>
      <c r="K752" s="3" t="n">
        <v>1.2</v>
      </c>
      <c r="L752" s="6" t="inlineStr"/>
      <c r="M752" s="7">
        <f>IF(L752&gt;0,(K752-L752)/K752*100,"")</f>
        <v/>
      </c>
    </row>
    <row r="753">
      <c r="A753" t="n">
        <v>752</v>
      </c>
      <c r="B753" t="inlineStr">
        <is>
          <t>2916E-22/460-IT-VIR</t>
        </is>
      </c>
      <c r="C753" t="inlineStr">
        <is>
          <t>BASE LIQUIDA MATTE 24H EVER BEAUTY (CJA X16 DOC)</t>
        </is>
      </c>
      <c r="D753" t="inlineStr">
        <is>
          <t>Belleza</t>
        </is>
      </c>
      <c r="E753" t="inlineStr">
        <is>
          <t>Maquillaje y Cosméticos</t>
        </is>
      </c>
      <c r="F753" t="inlineStr">
        <is>
          <t>Base y Correctores</t>
        </is>
      </c>
      <c r="G753" s="8" t="n">
        <v>58.5</v>
      </c>
      <c r="H753" s="9" t="n">
        <v>3</v>
      </c>
      <c r="I753" t="n">
        <v>3</v>
      </c>
      <c r="J753" s="10" t="n">
        <v>46098</v>
      </c>
      <c r="K753" s="8" t="n">
        <v>19.5</v>
      </c>
      <c r="L753" s="6" t="inlineStr"/>
      <c r="M753" s="7">
        <f>IF(L753&gt;0,(K753-L753)/K753*100,"")</f>
        <v/>
      </c>
    </row>
    <row r="754">
      <c r="A754" s="2" t="n">
        <v>753</v>
      </c>
      <c r="B754" s="2" t="inlineStr">
        <is>
          <t>TB16122</t>
        </is>
      </c>
      <c r="C754" s="2" t="inlineStr">
        <is>
          <t>BORRADOR COMIDA RAPIDA X6</t>
        </is>
      </c>
      <c r="D754" s="2" t="inlineStr">
        <is>
          <t>Librería y Oficina</t>
        </is>
      </c>
      <c r="E754" s="2" t="inlineStr">
        <is>
          <t>Útiles Escolares</t>
        </is>
      </c>
      <c r="F754" s="2" t="inlineStr">
        <is>
          <t>Borradores y Tajadores</t>
        </is>
      </c>
      <c r="G754" s="3" t="n">
        <v>58.12</v>
      </c>
      <c r="H754" s="4" t="n">
        <v>12</v>
      </c>
      <c r="I754" s="2" t="n">
        <v>10</v>
      </c>
      <c r="J754" s="5" t="n">
        <v>46098</v>
      </c>
      <c r="K754" s="3" t="n">
        <v>4.88</v>
      </c>
      <c r="L754" s="6" t="inlineStr"/>
      <c r="M754" s="7">
        <f>IF(L754&gt;0,(K754-L754)/K754*100,"")</f>
        <v/>
      </c>
    </row>
    <row r="755">
      <c r="A755" t="n">
        <v>754</v>
      </c>
      <c r="B755" t="inlineStr">
        <is>
          <t>75755617604342</t>
        </is>
      </c>
      <c r="C755" t="inlineStr">
        <is>
          <t>Licor Frutado con Brandy Sabor  manzana</t>
        </is>
      </c>
      <c r="D755" t="inlineStr">
        <is>
          <t>Alimentos y Bebidas Importadas</t>
        </is>
      </c>
      <c r="E755" t="inlineStr">
        <is>
          <t>Licores Asiáticos</t>
        </is>
      </c>
      <c r="F755" t="inlineStr">
        <is>
          <t>Licores Frutales y Cocteles</t>
        </is>
      </c>
      <c r="G755" s="8" t="n">
        <v>57</v>
      </c>
      <c r="H755" s="9" t="n">
        <v>6</v>
      </c>
      <c r="I755" t="n">
        <v>6</v>
      </c>
      <c r="J755" s="10" t="n">
        <v>46114</v>
      </c>
      <c r="K755" s="8" t="n">
        <v>9.5</v>
      </c>
      <c r="L755" s="6" t="inlineStr"/>
      <c r="M755" s="7">
        <f>IF(L755&gt;0,(K755-L755)/K755*100,"")</f>
        <v/>
      </c>
    </row>
    <row r="756">
      <c r="A756" s="2" t="n">
        <v>755</v>
      </c>
      <c r="B756" s="2" t="inlineStr">
        <is>
          <t>EFA150</t>
        </is>
      </c>
      <c r="C756" s="2" t="inlineStr">
        <is>
          <t>ESPUMA FACIAL DE AVENA DE 150ML</t>
        </is>
      </c>
      <c r="D756" s="2" t="inlineStr">
        <is>
          <t>Belleza</t>
        </is>
      </c>
      <c r="E756" s="2" t="inlineStr">
        <is>
          <t>Cuidado Facial</t>
        </is>
      </c>
      <c r="F756" s="2" t="inlineStr">
        <is>
          <t>Limpieza Facial</t>
        </is>
      </c>
      <c r="G756" s="3" t="n">
        <v>56.7</v>
      </c>
      <c r="H756" s="4" t="n">
        <v>3</v>
      </c>
      <c r="I756" s="2" t="n">
        <v>3</v>
      </c>
      <c r="J756" s="5" t="n">
        <v>46120</v>
      </c>
      <c r="K756" s="3" t="n">
        <v>18.9</v>
      </c>
      <c r="L756" s="6" t="inlineStr"/>
      <c r="M756" s="7">
        <f>IF(L756&gt;0,(K756-L756)/K756*100,"")</f>
        <v/>
      </c>
    </row>
    <row r="757">
      <c r="A757" t="n">
        <v>756</v>
      </c>
      <c r="B757" t="inlineStr">
        <is>
          <t>74931689020221</t>
        </is>
      </c>
      <c r="C757" t="inlineStr">
        <is>
          <t>GEL DE AFEITAR 1L</t>
        </is>
      </c>
      <c r="D757" t="inlineStr">
        <is>
          <t>Cuidado Personal y Salud</t>
        </is>
      </c>
      <c r="E757" t="inlineStr">
        <is>
          <t>Afeitado</t>
        </is>
      </c>
      <c r="F757" t="inlineStr">
        <is>
          <t>Espumas y Gel de Afeitar</t>
        </is>
      </c>
      <c r="G757" s="8" t="n">
        <v>55.5</v>
      </c>
      <c r="H757" s="9" t="n">
        <v>3</v>
      </c>
      <c r="I757" t="n">
        <v>3</v>
      </c>
      <c r="J757" s="10" t="n">
        <v>46116</v>
      </c>
      <c r="K757" s="8" t="n">
        <v>18.5</v>
      </c>
      <c r="L757" s="6" t="inlineStr"/>
      <c r="M757" s="7">
        <f>IF(L757&gt;0,(K757-L757)/K757*100,"")</f>
        <v/>
      </c>
    </row>
    <row r="758">
      <c r="A758" s="2" t="n">
        <v>757</v>
      </c>
      <c r="B758" s="2" t="inlineStr">
        <is>
          <t>CC-954</t>
        </is>
      </c>
      <c r="C758" s="2" t="inlineStr">
        <is>
          <t>TAPER + CUCHARA NIÑOS</t>
        </is>
      </c>
      <c r="D758" s="2" t="inlineStr">
        <is>
          <t>Hogar y Decoración</t>
        </is>
      </c>
      <c r="E758" s="2" t="inlineStr">
        <is>
          <t>Menaje de Cocina</t>
        </is>
      </c>
      <c r="F758" s="2" t="inlineStr">
        <is>
          <t>Tapers y Contenedores</t>
        </is>
      </c>
      <c r="G758" s="3" t="n">
        <v>55.2</v>
      </c>
      <c r="H758" s="4" t="n">
        <v>8</v>
      </c>
      <c r="I758" s="2" t="n">
        <v>5</v>
      </c>
      <c r="J758" s="5" t="n">
        <v>46091</v>
      </c>
      <c r="K758" s="3" t="n">
        <v>6.9</v>
      </c>
      <c r="L758" s="6" t="inlineStr"/>
      <c r="M758" s="7">
        <f>IF(L758&gt;0,(K758-L758)/K758*100,"")</f>
        <v/>
      </c>
    </row>
    <row r="759">
      <c r="A759" t="n">
        <v>758</v>
      </c>
      <c r="B759" t="inlineStr">
        <is>
          <t>ORG-4</t>
        </is>
      </c>
      <c r="C759" t="inlineStr">
        <is>
          <t>Organizador de 4 niveles</t>
        </is>
      </c>
      <c r="D759" t="inlineStr">
        <is>
          <t>Hogar y Decoración</t>
        </is>
      </c>
      <c r="E759" t="inlineStr">
        <is>
          <t>Organización del Hogar</t>
        </is>
      </c>
      <c r="F759" t="inlineStr">
        <is>
          <t>Organizadores Varios</t>
        </is>
      </c>
      <c r="G759" s="8" t="n">
        <v>55</v>
      </c>
      <c r="H759" s="9" t="n">
        <v>1</v>
      </c>
      <c r="I759" t="n">
        <v>1</v>
      </c>
      <c r="J759" s="10" t="n">
        <v>46106</v>
      </c>
      <c r="K759" s="8" t="n">
        <v>55</v>
      </c>
      <c r="L759" s="6" t="inlineStr"/>
      <c r="M759" s="7">
        <f>IF(L759&gt;0,(K759-L759)/K759*100,"")</f>
        <v/>
      </c>
    </row>
    <row r="760">
      <c r="A760" s="2" t="n">
        <v>759</v>
      </c>
      <c r="B760" s="2" t="inlineStr">
        <is>
          <t>1031-1</t>
        </is>
      </c>
      <c r="C760" s="2" t="inlineStr">
        <is>
          <t>JGT SIRENA BOLSA X1</t>
        </is>
      </c>
      <c r="D760" s="2" t="inlineStr">
        <is>
          <t>Juguetes y Juegos</t>
        </is>
      </c>
      <c r="E760" s="2" t="inlineStr">
        <is>
          <t>Juguetes</t>
        </is>
      </c>
      <c r="F760" s="2" t="inlineStr">
        <is>
          <t>Juguetes Variados</t>
        </is>
      </c>
      <c r="G760" s="3" t="n">
        <v>54</v>
      </c>
      <c r="H760" s="4" t="n">
        <v>30</v>
      </c>
      <c r="I760" s="2" t="n">
        <v>23</v>
      </c>
      <c r="J760" s="5" t="n">
        <v>46153</v>
      </c>
      <c r="K760" s="3" t="n">
        <v>1.8</v>
      </c>
      <c r="L760" s="6" t="inlineStr"/>
      <c r="M760" s="7">
        <f>IF(L760&gt;0,(K760-L760)/K760*100,"")</f>
        <v/>
      </c>
    </row>
    <row r="761">
      <c r="A761" t="n">
        <v>760</v>
      </c>
      <c r="B761" t="inlineStr">
        <is>
          <t>MS-3706</t>
        </is>
      </c>
      <c r="C761" t="inlineStr">
        <is>
          <t>TOMATODO KAWAII SUNNY</t>
        </is>
      </c>
      <c r="D761" t="inlineStr">
        <is>
          <t>Hogar y Decoración</t>
        </is>
      </c>
      <c r="E761" t="inlineStr">
        <is>
          <t>Menaje de Cocina</t>
        </is>
      </c>
      <c r="F761" t="inlineStr">
        <is>
          <t>Tomatodos y Botellas</t>
        </is>
      </c>
      <c r="G761" s="8" t="n">
        <v>54</v>
      </c>
      <c r="H761" s="9" t="n">
        <v>4</v>
      </c>
      <c r="I761" t="n">
        <v>3</v>
      </c>
      <c r="J761" s="10" t="n">
        <v>46094</v>
      </c>
      <c r="K761" s="8" t="n">
        <v>13.5</v>
      </c>
      <c r="L761" s="6" t="inlineStr"/>
      <c r="M761" s="7">
        <f>IF(L761&gt;0,(K761-L761)/K761*100,"")</f>
        <v/>
      </c>
    </row>
    <row r="762">
      <c r="A762" s="2" t="n">
        <v>761</v>
      </c>
      <c r="B762" s="2" t="inlineStr">
        <is>
          <t>A3G02602</t>
        </is>
      </c>
      <c r="C762" s="2" t="inlineStr">
        <is>
          <t>PRESTOBARBA X1</t>
        </is>
      </c>
      <c r="D762" s="2" t="inlineStr">
        <is>
          <t>Cuidado Personal y Salud</t>
        </is>
      </c>
      <c r="E762" s="2" t="inlineStr">
        <is>
          <t>Afeitado</t>
        </is>
      </c>
      <c r="F762" s="2" t="inlineStr">
        <is>
          <t>Máquinas de Afeitar y Repuestos</t>
        </is>
      </c>
      <c r="G762" s="3" t="n">
        <v>54</v>
      </c>
      <c r="H762" s="4" t="n">
        <v>45</v>
      </c>
      <c r="I762" s="2" t="n">
        <v>32</v>
      </c>
      <c r="J762" s="5" t="n">
        <v>46115</v>
      </c>
      <c r="K762" s="3" t="n">
        <v>1.2</v>
      </c>
      <c r="L762" s="6" t="inlineStr"/>
      <c r="M762" s="7">
        <f>IF(L762&gt;0,(K762-L762)/K762*100,"")</f>
        <v/>
      </c>
    </row>
    <row r="763">
      <c r="A763" t="n">
        <v>762</v>
      </c>
      <c r="B763" t="inlineStr">
        <is>
          <t>77204701995509</t>
        </is>
      </c>
      <c r="C763" t="inlineStr">
        <is>
          <t>CARAMELO BLANDO DE UVA (VITAMINA C) 1</t>
        </is>
      </c>
      <c r="D763" t="inlineStr">
        <is>
          <t>Alimentos y Bebidas Importadas</t>
        </is>
      </c>
      <c r="E763" t="inlineStr">
        <is>
          <t>Snacks y Dulces Asiáticos</t>
        </is>
      </c>
      <c r="F763" t="inlineStr">
        <is>
          <t>Caramelos y Gomitas</t>
        </is>
      </c>
      <c r="G763" s="8" t="n">
        <v>53.9</v>
      </c>
      <c r="H763" s="9" t="n">
        <v>11</v>
      </c>
      <c r="I763" t="n">
        <v>10</v>
      </c>
      <c r="J763" s="10" t="n">
        <v>46093</v>
      </c>
      <c r="K763" s="8" t="n">
        <v>4.9</v>
      </c>
      <c r="L763" s="6" t="inlineStr"/>
      <c r="M763" s="7">
        <f>IF(L763&gt;0,(K763-L763)/K763*100,"")</f>
        <v/>
      </c>
    </row>
    <row r="764">
      <c r="A764" s="2" t="n">
        <v>763</v>
      </c>
      <c r="B764" s="2" t="inlineStr">
        <is>
          <t>701352</t>
        </is>
      </c>
      <c r="C764" s="2" t="inlineStr">
        <is>
          <t>9 SCOOL TAPER CDRD 230ML LOL</t>
        </is>
      </c>
      <c r="D764" s="2" t="inlineStr">
        <is>
          <t>Librería y Oficina</t>
        </is>
      </c>
      <c r="E764" s="2" t="inlineStr">
        <is>
          <t>Loncheras y Taperes Escolares</t>
        </is>
      </c>
      <c r="F764" s="2" t="inlineStr">
        <is>
          <t>Taperes Escolares</t>
        </is>
      </c>
      <c r="G764" s="3" t="n">
        <v>53.5</v>
      </c>
      <c r="H764" s="4" t="n">
        <v>11</v>
      </c>
      <c r="I764" s="2" t="n">
        <v>11</v>
      </c>
      <c r="J764" s="5" t="n">
        <v>46106</v>
      </c>
      <c r="K764" s="3" t="n">
        <v>4.86</v>
      </c>
      <c r="L764" s="6" t="inlineStr"/>
      <c r="M764" s="7">
        <f>IF(L764&gt;0,(K764-L764)/K764*100,"")</f>
        <v/>
      </c>
    </row>
    <row r="765">
      <c r="A765" t="n">
        <v>764</v>
      </c>
      <c r="B765" t="inlineStr">
        <is>
          <t>270823</t>
        </is>
      </c>
      <c r="C765" t="inlineStr">
        <is>
          <t>SKY TEENS RAP BODY SPRAY 150ML</t>
        </is>
      </c>
      <c r="D765" t="inlineStr">
        <is>
          <t>Belleza</t>
        </is>
      </c>
      <c r="E765" t="inlineStr">
        <is>
          <t>Perfumes y Fragancias</t>
        </is>
      </c>
      <c r="F765" t="inlineStr">
        <is>
          <t>Splashes y Colonias Corporales</t>
        </is>
      </c>
      <c r="G765" s="8" t="n">
        <v>53.4</v>
      </c>
      <c r="H765" s="9" t="n">
        <v>6</v>
      </c>
      <c r="I765" t="n">
        <v>6</v>
      </c>
      <c r="J765" s="10" t="n">
        <v>46178</v>
      </c>
      <c r="K765" s="8" t="n">
        <v>8.9</v>
      </c>
      <c r="L765" s="6" t="inlineStr"/>
      <c r="M765" s="7">
        <f>IF(L765&gt;0,(K765-L765)/K765*100,"")</f>
        <v/>
      </c>
    </row>
    <row r="766">
      <c r="A766" s="2" t="n">
        <v>765</v>
      </c>
      <c r="B766" s="2" t="inlineStr">
        <is>
          <t>270819</t>
        </is>
      </c>
      <c r="C766" s="2" t="inlineStr">
        <is>
          <t>SKY OCEAN BODY SPRAY 150ML</t>
        </is>
      </c>
      <c r="D766" s="2" t="inlineStr">
        <is>
          <t>Belleza</t>
        </is>
      </c>
      <c r="E766" s="2" t="inlineStr">
        <is>
          <t>Perfumes y Fragancias</t>
        </is>
      </c>
      <c r="F766" s="2" t="inlineStr">
        <is>
          <t>Splashes y Colonias Corporales</t>
        </is>
      </c>
      <c r="G766" s="3" t="n">
        <v>53.4</v>
      </c>
      <c r="H766" s="4" t="n">
        <v>6</v>
      </c>
      <c r="I766" s="2" t="n">
        <v>6</v>
      </c>
      <c r="J766" s="5" t="n">
        <v>46174</v>
      </c>
      <c r="K766" s="3" t="n">
        <v>8.9</v>
      </c>
      <c r="L766" s="6" t="inlineStr"/>
      <c r="M766" s="7">
        <f>IF(L766&gt;0,(K766-L766)/K766*100,"")</f>
        <v/>
      </c>
    </row>
    <row r="767">
      <c r="A767" t="n">
        <v>766</v>
      </c>
      <c r="B767" t="inlineStr">
        <is>
          <t>C9-1055</t>
        </is>
      </c>
      <c r="C767" t="inlineStr">
        <is>
          <t>ZAPATILLA DAMAS</t>
        </is>
      </c>
      <c r="D767" t="inlineStr">
        <is>
          <t>Zapatillas</t>
        </is>
      </c>
      <c r="E767" t="inlineStr">
        <is>
          <t>Zapatillas</t>
        </is>
      </c>
      <c r="F767" t="inlineStr">
        <is>
          <t>Zapatillas Urbanas</t>
        </is>
      </c>
      <c r="G767" s="8" t="n">
        <v>52.9</v>
      </c>
      <c r="H767" s="9" t="n">
        <v>1</v>
      </c>
      <c r="I767" t="n">
        <v>1</v>
      </c>
      <c r="J767" s="10" t="n">
        <v>46097</v>
      </c>
      <c r="K767" s="8" t="n">
        <v>52.9</v>
      </c>
      <c r="L767" s="6" t="inlineStr"/>
      <c r="M767" s="7">
        <f>IF(L767&gt;0,(K767-L767)/K767*100,"")</f>
        <v/>
      </c>
    </row>
    <row r="768">
      <c r="A768" s="2" t="n">
        <v>767</v>
      </c>
      <c r="B768" s="2" t="inlineStr">
        <is>
          <t>150103</t>
        </is>
      </c>
      <c r="C768" s="2" t="inlineStr">
        <is>
          <t>FOCO LED 50W</t>
        </is>
      </c>
      <c r="D768" s="2" t="inlineStr">
        <is>
          <t>Mejoramiento del Hogar</t>
        </is>
      </c>
      <c r="E768" s="2" t="inlineStr">
        <is>
          <t>Iluminación</t>
        </is>
      </c>
      <c r="F768" s="2" t="inlineStr">
        <is>
          <t>Luces y Focos</t>
        </is>
      </c>
      <c r="G768" s="3" t="n">
        <v>52.5</v>
      </c>
      <c r="H768" s="4" t="n">
        <v>7</v>
      </c>
      <c r="I768" s="2" t="n">
        <v>5</v>
      </c>
      <c r="J768" s="5" t="n">
        <v>46095</v>
      </c>
      <c r="K768" s="3" t="n">
        <v>7.5</v>
      </c>
      <c r="L768" s="6" t="inlineStr"/>
      <c r="M768" s="7">
        <f>IF(L768&gt;0,(K768-L768)/K768*100,"")</f>
        <v/>
      </c>
    </row>
    <row r="769">
      <c r="A769" t="n">
        <v>768</v>
      </c>
      <c r="B769" t="inlineStr">
        <is>
          <t>LIMK-003</t>
        </is>
      </c>
      <c r="C769" t="inlineStr">
        <is>
          <t>LAVAVAJILLAS LIQUIDO ANTIBACTERIAL PET 970 CHEMI</t>
        </is>
      </c>
      <c r="D769" t="inlineStr">
        <is>
          <t>Limpieza</t>
        </is>
      </c>
      <c r="E769" t="inlineStr">
        <is>
          <t>Lavavajillas</t>
        </is>
      </c>
      <c r="F769" t="inlineStr">
        <is>
          <t>Lavavajillas Líquido</t>
        </is>
      </c>
      <c r="G769" s="8" t="n">
        <v>52.2</v>
      </c>
      <c r="H769" s="9" t="n">
        <v>9</v>
      </c>
      <c r="I769" t="n">
        <v>9</v>
      </c>
      <c r="J769" s="10" t="n">
        <v>46096</v>
      </c>
      <c r="K769" s="8" t="n">
        <v>5.8</v>
      </c>
      <c r="L769" s="6" t="inlineStr"/>
      <c r="M769" s="7">
        <f>IF(L769&gt;0,(K769-L769)/K769*100,"")</f>
        <v/>
      </c>
    </row>
    <row r="770">
      <c r="A770" s="2" t="n">
        <v>769</v>
      </c>
      <c r="B770" s="2" t="inlineStr">
        <is>
          <t>76106757696818</t>
        </is>
      </c>
      <c r="C770" s="2" t="inlineStr">
        <is>
          <t>FID ARROZ (HEFEN) INST S/ESTOF DE POLLO</t>
        </is>
      </c>
      <c r="D770" s="2" t="inlineStr">
        <is>
          <t>Alimentos y Bebidas Importadas</t>
        </is>
      </c>
      <c r="E770" s="2" t="inlineStr">
        <is>
          <t>Sopas y Fideos Instantáneos</t>
        </is>
      </c>
      <c r="F770" s="2" t="inlineStr">
        <is>
          <t>Fideos de Arroz</t>
        </is>
      </c>
      <c r="G770" s="3" t="n">
        <v>51</v>
      </c>
      <c r="H770" s="4" t="n">
        <v>6</v>
      </c>
      <c r="I770" s="2" t="n">
        <v>6</v>
      </c>
      <c r="J770" s="5" t="n">
        <v>46108</v>
      </c>
      <c r="K770" s="3" t="n">
        <v>8.5</v>
      </c>
      <c r="L770" s="6" t="inlineStr"/>
      <c r="M770" s="7">
        <f>IF(L770&gt;0,(K770-L770)/K770*100,"")</f>
        <v/>
      </c>
    </row>
    <row r="771">
      <c r="A771" t="n">
        <v>770</v>
      </c>
      <c r="B771" t="inlineStr">
        <is>
          <t>75356239288834</t>
        </is>
      </c>
      <c r="C771" t="inlineStr">
        <is>
          <t>BYWIN COLONIA X 250ML TOY STORY LT.</t>
        </is>
      </c>
      <c r="D771" t="inlineStr">
        <is>
          <t>Belleza</t>
        </is>
      </c>
      <c r="E771" t="inlineStr">
        <is>
          <t>Perfumes y Fragancias</t>
        </is>
      </c>
      <c r="F771" t="inlineStr">
        <is>
          <t>Perfumes Infantiles con Licencia</t>
        </is>
      </c>
      <c r="G771" s="8" t="n">
        <v>50</v>
      </c>
      <c r="H771" s="9" t="n">
        <v>4</v>
      </c>
      <c r="I771" t="n">
        <v>4</v>
      </c>
      <c r="J771" s="10" t="n">
        <v>46135</v>
      </c>
      <c r="K771" s="8" t="n">
        <v>12.5</v>
      </c>
      <c r="L771" s="6" t="inlineStr"/>
      <c r="M771" s="7">
        <f>IF(L771&gt;0,(K771-L771)/K771*100,"")</f>
        <v/>
      </c>
    </row>
    <row r="772">
      <c r="A772" s="2" t="n">
        <v>771</v>
      </c>
      <c r="B772" s="2" t="inlineStr">
        <is>
          <t>75356239223730</t>
        </is>
      </c>
      <c r="C772" s="2" t="inlineStr">
        <is>
          <t>BYWIN COLONIA X 250ML SUPER KITTIES LT.</t>
        </is>
      </c>
      <c r="D772" s="2" t="inlineStr">
        <is>
          <t>Belleza</t>
        </is>
      </c>
      <c r="E772" s="2" t="inlineStr">
        <is>
          <t>Perfumes y Fragancias</t>
        </is>
      </c>
      <c r="F772" s="2" t="inlineStr">
        <is>
          <t>Perfumes Infantiles con Licencia</t>
        </is>
      </c>
      <c r="G772" s="3" t="n">
        <v>50</v>
      </c>
      <c r="H772" s="4" t="n">
        <v>4</v>
      </c>
      <c r="I772" s="2" t="n">
        <v>4</v>
      </c>
      <c r="J772" s="5" t="n">
        <v>46131</v>
      </c>
      <c r="K772" s="3" t="n">
        <v>12.5</v>
      </c>
      <c r="L772" s="6" t="inlineStr"/>
      <c r="M772" s="7">
        <f>IF(L772&gt;0,(K772-L772)/K772*100,"")</f>
        <v/>
      </c>
    </row>
    <row r="773">
      <c r="A773" t="n">
        <v>772</v>
      </c>
      <c r="B773" t="inlineStr">
        <is>
          <t>74931682695443</t>
        </is>
      </c>
      <c r="C773" t="inlineStr">
        <is>
          <t>SPLASH PERFUME DAYA</t>
        </is>
      </c>
      <c r="D773" t="inlineStr">
        <is>
          <t>Belleza</t>
        </is>
      </c>
      <c r="E773" t="inlineStr">
        <is>
          <t>Perfumes y Fragancias</t>
        </is>
      </c>
      <c r="F773" t="inlineStr">
        <is>
          <t>Splashes y Colonias Corporales</t>
        </is>
      </c>
      <c r="G773" s="8" t="n">
        <v>49.95</v>
      </c>
      <c r="H773" s="9" t="n">
        <v>3</v>
      </c>
      <c r="I773" t="n">
        <v>2</v>
      </c>
      <c r="J773" s="10" t="n">
        <v>46121</v>
      </c>
      <c r="K773" s="8" t="n">
        <v>15.73</v>
      </c>
      <c r="L773" s="6" t="inlineStr"/>
      <c r="M773" s="7">
        <f>IF(L773&gt;0,(K773-L773)/K773*100,"")</f>
        <v/>
      </c>
    </row>
    <row r="774">
      <c r="A774" s="2" t="n">
        <v>773</v>
      </c>
      <c r="B774" s="2" t="inlineStr">
        <is>
          <t>B1724</t>
        </is>
      </c>
      <c r="C774" s="2" t="inlineStr">
        <is>
          <t>SET CEPILLO X12</t>
        </is>
      </c>
      <c r="D774" s="2" t="inlineStr">
        <is>
          <t>Cuidado Personal y Salud</t>
        </is>
      </c>
      <c r="E774" s="2" t="inlineStr">
        <is>
          <t>Cuidado Bucal</t>
        </is>
      </c>
      <c r="F774" s="2" t="inlineStr">
        <is>
          <t>Cepillo Dental</t>
        </is>
      </c>
      <c r="G774" s="3" t="n">
        <v>49</v>
      </c>
      <c r="H774" s="4" t="n">
        <v>10</v>
      </c>
      <c r="I774" s="2" t="n">
        <v>8</v>
      </c>
      <c r="J774" s="5" t="n">
        <v>46092</v>
      </c>
      <c r="K774" s="3" t="n">
        <v>4.9</v>
      </c>
      <c r="L774" s="6" t="inlineStr"/>
      <c r="M774" s="7">
        <f>IF(L774&gt;0,(K774-L774)/K774*100,"")</f>
        <v/>
      </c>
    </row>
    <row r="775">
      <c r="A775" t="n">
        <v>774</v>
      </c>
      <c r="B775" t="inlineStr">
        <is>
          <t>2216</t>
        </is>
      </c>
      <c r="C775" t="inlineStr">
        <is>
          <t>SET CEPILLO ADULTO X12</t>
        </is>
      </c>
      <c r="D775" t="inlineStr">
        <is>
          <t>Cuidado Personal y Salud</t>
        </is>
      </c>
      <c r="E775" t="inlineStr">
        <is>
          <t>Cuidado Bucal</t>
        </is>
      </c>
      <c r="F775" t="inlineStr">
        <is>
          <t>Cepillo Dental</t>
        </is>
      </c>
      <c r="G775" s="8" t="n">
        <v>49</v>
      </c>
      <c r="H775" s="9" t="n">
        <v>10</v>
      </c>
      <c r="I775" t="n">
        <v>10</v>
      </c>
      <c r="J775" s="10" t="n">
        <v>46097</v>
      </c>
      <c r="K775" s="8" t="n">
        <v>4.9</v>
      </c>
      <c r="L775" s="6" t="inlineStr"/>
      <c r="M775" s="7">
        <f>IF(L775&gt;0,(K775-L775)/K775*100,"")</f>
        <v/>
      </c>
    </row>
    <row r="776">
      <c r="A776" s="2" t="n">
        <v>775</v>
      </c>
      <c r="B776" s="2" t="inlineStr">
        <is>
          <t>PP-9</t>
        </is>
      </c>
      <c r="C776" s="2" t="inlineStr">
        <is>
          <t>PLATO</t>
        </is>
      </c>
      <c r="D776" s="2" t="inlineStr">
        <is>
          <t>Hogar y Decoración</t>
        </is>
      </c>
      <c r="E776" s="2" t="inlineStr">
        <is>
          <t>Menaje de Comedor</t>
        </is>
      </c>
      <c r="F776" s="2" t="inlineStr">
        <is>
          <t>Platos y Fuentes</t>
        </is>
      </c>
      <c r="G776" s="3" t="n">
        <v>48.1</v>
      </c>
      <c r="H776" s="4" t="n">
        <v>13</v>
      </c>
      <c r="I776" s="2" t="n">
        <v>4</v>
      </c>
      <c r="J776" s="5" t="n">
        <v>46122</v>
      </c>
      <c r="K776" s="3" t="n">
        <v>3.7</v>
      </c>
      <c r="L776" s="6" t="inlineStr"/>
      <c r="M776" s="7">
        <f>IF(L776&gt;0,(K776-L776)/K776*100,"")</f>
        <v/>
      </c>
    </row>
    <row r="777">
      <c r="A777" t="n">
        <v>776</v>
      </c>
      <c r="B777" t="inlineStr">
        <is>
          <t>F-413</t>
        </is>
      </c>
      <c r="C777" t="inlineStr">
        <is>
          <t>LAMPARA NIÑOS</t>
        </is>
      </c>
      <c r="D777" t="inlineStr">
        <is>
          <t>Hogar y Decoración</t>
        </is>
      </c>
      <c r="E777" t="inlineStr">
        <is>
          <t>Decoración</t>
        </is>
      </c>
      <c r="F777" t="inlineStr">
        <is>
          <t>Lámparas Decorativas</t>
        </is>
      </c>
      <c r="G777" s="8" t="n">
        <v>47.4</v>
      </c>
      <c r="H777" s="9" t="n">
        <v>6</v>
      </c>
      <c r="I777" t="n">
        <v>6</v>
      </c>
      <c r="J777" s="10" t="n">
        <v>46102</v>
      </c>
      <c r="K777" s="8" t="n">
        <v>7.9</v>
      </c>
      <c r="L777" s="6" t="inlineStr"/>
      <c r="M777" s="7">
        <f>IF(L777&gt;0,(K777-L777)/K777*100,"")</f>
        <v/>
      </c>
    </row>
    <row r="778">
      <c r="A778" s="2" t="n">
        <v>777</v>
      </c>
      <c r="B778" s="2" t="inlineStr">
        <is>
          <t>LS-96</t>
        </is>
      </c>
      <c r="C778" s="2" t="inlineStr">
        <is>
          <t>Condimentero giratorio con X6</t>
        </is>
      </c>
      <c r="D778" s="2" t="inlineStr">
        <is>
          <t>Hogar y Decoración</t>
        </is>
      </c>
      <c r="E778" s="2" t="inlineStr">
        <is>
          <t>Menaje de Cocina</t>
        </is>
      </c>
      <c r="F778" s="2" t="inlineStr">
        <is>
          <t>Dispensadores y Organizadores de Cocina</t>
        </is>
      </c>
      <c r="G778" s="3" t="n">
        <v>47</v>
      </c>
      <c r="H778" s="4" t="n">
        <v>2</v>
      </c>
      <c r="I778" s="2" t="n">
        <v>2</v>
      </c>
      <c r="J778" s="5" t="n">
        <v>46093</v>
      </c>
      <c r="K778" s="3" t="n">
        <v>23.5</v>
      </c>
      <c r="L778" s="6" t="inlineStr"/>
      <c r="M778" s="7">
        <f>IF(L778&gt;0,(K778-L778)/K778*100,"")</f>
        <v/>
      </c>
    </row>
    <row r="779">
      <c r="A779" t="n">
        <v>778</v>
      </c>
      <c r="B779" t="inlineStr">
        <is>
          <t>TCB-1985</t>
        </is>
      </c>
      <c r="C779" t="inlineStr">
        <is>
          <t>Taza de cerámica Azul</t>
        </is>
      </c>
      <c r="D779" t="inlineStr">
        <is>
          <t>Hogar y Decoración</t>
        </is>
      </c>
      <c r="E779" t="inlineStr">
        <is>
          <t>Menaje de Comedor</t>
        </is>
      </c>
      <c r="F779" t="inlineStr">
        <is>
          <t>Tazas y Mugs</t>
        </is>
      </c>
      <c r="G779" s="8" t="n">
        <v>47</v>
      </c>
      <c r="H779" s="9" t="n">
        <v>10</v>
      </c>
      <c r="I779" t="n">
        <v>10</v>
      </c>
      <c r="J779" s="10" t="n">
        <v>46165</v>
      </c>
      <c r="K779" s="8" t="n">
        <v>4.7</v>
      </c>
      <c r="L779" s="6" t="inlineStr"/>
      <c r="M779" s="7">
        <f>IF(L779&gt;0,(K779-L779)/K779*100,"")</f>
        <v/>
      </c>
    </row>
    <row r="780">
      <c r="A780" s="2" t="n">
        <v>779</v>
      </c>
      <c r="B780" s="2" t="inlineStr">
        <is>
          <t>CL0065396</t>
        </is>
      </c>
      <c r="C780" s="2" t="inlineStr">
        <is>
          <t>Desinf. Poett Alegra Tu Día 880ml</t>
        </is>
      </c>
      <c r="D780" s="2" t="inlineStr">
        <is>
          <t>Limpieza</t>
        </is>
      </c>
      <c r="E780" s="2" t="inlineStr">
        <is>
          <t>Lejías y Desinfectantes</t>
        </is>
      </c>
      <c r="F780" s="2" t="inlineStr">
        <is>
          <t>Desinfectantes y Pinos</t>
        </is>
      </c>
      <c r="G780" s="3" t="n">
        <v>46.8</v>
      </c>
      <c r="H780" s="4" t="n">
        <v>12</v>
      </c>
      <c r="I780" s="2" t="n">
        <v>12</v>
      </c>
      <c r="J780" s="5" t="n">
        <v>46131</v>
      </c>
      <c r="K780" s="3" t="n">
        <v>3.9</v>
      </c>
      <c r="L780" s="6" t="inlineStr"/>
      <c r="M780" s="7">
        <f>IF(L780&gt;0,(K780-L780)/K780*100,"")</f>
        <v/>
      </c>
    </row>
    <row r="781">
      <c r="A781" t="n">
        <v>780</v>
      </c>
      <c r="B781" t="inlineStr">
        <is>
          <t>CL0065394</t>
        </is>
      </c>
      <c r="C781" t="inlineStr">
        <is>
          <t>Desinf. Poett Bebé 880ml (PQTX12)</t>
        </is>
      </c>
      <c r="D781" t="inlineStr">
        <is>
          <t>Limpieza</t>
        </is>
      </c>
      <c r="E781" t="inlineStr">
        <is>
          <t>Lejías y Desinfectantes</t>
        </is>
      </c>
      <c r="F781" t="inlineStr">
        <is>
          <t>Desinfectantes y Pinos</t>
        </is>
      </c>
      <c r="G781" s="8" t="n">
        <v>46.8</v>
      </c>
      <c r="H781" s="9" t="n">
        <v>12</v>
      </c>
      <c r="I781" t="n">
        <v>12</v>
      </c>
      <c r="J781" s="10" t="n">
        <v>46132</v>
      </c>
      <c r="K781" s="8" t="n">
        <v>3.9</v>
      </c>
      <c r="L781" s="6" t="inlineStr"/>
      <c r="M781" s="7">
        <f>IF(L781&gt;0,(K781-L781)/K781*100,"")</f>
        <v/>
      </c>
    </row>
    <row r="782">
      <c r="A782" s="2" t="n">
        <v>781</v>
      </c>
      <c r="B782" s="2" t="inlineStr">
        <is>
          <t>CL0065390</t>
        </is>
      </c>
      <c r="C782" s="2" t="inlineStr">
        <is>
          <t>Desinf. Poett Lavanda 880ml (PQTX12)</t>
        </is>
      </c>
      <c r="D782" s="2" t="inlineStr">
        <is>
          <t>Limpieza</t>
        </is>
      </c>
      <c r="E782" s="2" t="inlineStr">
        <is>
          <t>Lejías y Desinfectantes</t>
        </is>
      </c>
      <c r="F782" s="2" t="inlineStr">
        <is>
          <t>Desinfectantes y Pinos</t>
        </is>
      </c>
      <c r="G782" s="3" t="n">
        <v>46.8</v>
      </c>
      <c r="H782" s="4" t="n">
        <v>12</v>
      </c>
      <c r="I782" s="2" t="n">
        <v>12</v>
      </c>
      <c r="J782" s="5" t="n">
        <v>46131</v>
      </c>
      <c r="K782" s="3" t="n">
        <v>3.9</v>
      </c>
      <c r="L782" s="6" t="inlineStr"/>
      <c r="M782" s="7">
        <f>IF(L782&gt;0,(K782-L782)/K782*100,"")</f>
        <v/>
      </c>
    </row>
    <row r="783">
      <c r="A783" t="n">
        <v>782</v>
      </c>
      <c r="B783" t="inlineStr">
        <is>
          <t>BW60446</t>
        </is>
      </c>
      <c r="C783" t="inlineStr">
        <is>
          <t>BYWIN TOALLITAS HUMEDAS X 100 UND FURBY MORADO</t>
        </is>
      </c>
      <c r="D783" t="inlineStr">
        <is>
          <t>Cuidado Personal y Salud</t>
        </is>
      </c>
      <c r="E783" t="inlineStr">
        <is>
          <t>Toallitas Húmedas</t>
        </is>
      </c>
      <c r="F783" t="inlineStr">
        <is>
          <t>Toallitas Húmedas con Licencia</t>
        </is>
      </c>
      <c r="G783" s="8" t="n">
        <v>46.8</v>
      </c>
      <c r="H783" s="9" t="n">
        <v>13</v>
      </c>
      <c r="I783" t="n">
        <v>11</v>
      </c>
      <c r="J783" s="10" t="n">
        <v>46177</v>
      </c>
      <c r="K783" s="8" t="n">
        <v>3.6</v>
      </c>
      <c r="L783" s="6" t="inlineStr"/>
      <c r="M783" s="7">
        <f>IF(L783&gt;0,(K783-L783)/K783*100,"")</f>
        <v/>
      </c>
    </row>
    <row r="784">
      <c r="A784" s="2" t="n">
        <v>783</v>
      </c>
      <c r="B784" s="2" t="inlineStr">
        <is>
          <t>CL0065391</t>
        </is>
      </c>
      <c r="C784" s="2" t="inlineStr">
        <is>
          <t>Desinf. Poett Primavera 880ml (PQTX12)</t>
        </is>
      </c>
      <c r="D784" s="2" t="inlineStr">
        <is>
          <t>Limpieza</t>
        </is>
      </c>
      <c r="E784" s="2" t="inlineStr">
        <is>
          <t>Lejías y Desinfectantes</t>
        </is>
      </c>
      <c r="F784" s="2" t="inlineStr">
        <is>
          <t>Desinfectantes y Pinos</t>
        </is>
      </c>
      <c r="G784" s="3" t="n">
        <v>46.8</v>
      </c>
      <c r="H784" s="4" t="n">
        <v>12</v>
      </c>
      <c r="I784" s="2" t="n">
        <v>12</v>
      </c>
      <c r="J784" s="5" t="n">
        <v>46131</v>
      </c>
      <c r="K784" s="3" t="n">
        <v>3.9</v>
      </c>
      <c r="L784" s="6" t="inlineStr"/>
      <c r="M784" s="7">
        <f>IF(L784&gt;0,(K784-L784)/K784*100,"")</f>
        <v/>
      </c>
    </row>
    <row r="785">
      <c r="A785" t="n">
        <v>784</v>
      </c>
      <c r="B785" t="inlineStr">
        <is>
          <t>CL0065505</t>
        </is>
      </c>
      <c r="C785" t="inlineStr">
        <is>
          <t>Desinf. Poett Solo Para Ti 900ml (PQTX12)</t>
        </is>
      </c>
      <c r="D785" t="inlineStr">
        <is>
          <t>Limpieza</t>
        </is>
      </c>
      <c r="E785" t="inlineStr">
        <is>
          <t>Lejías y Desinfectantes</t>
        </is>
      </c>
      <c r="F785" t="inlineStr">
        <is>
          <t>Desinfectantes y Pinos</t>
        </is>
      </c>
      <c r="G785" s="8" t="n">
        <v>46.8</v>
      </c>
      <c r="H785" s="9" t="n">
        <v>12</v>
      </c>
      <c r="I785" t="n">
        <v>11</v>
      </c>
      <c r="J785" s="10" t="n">
        <v>46132</v>
      </c>
      <c r="K785" s="8" t="n">
        <v>3.9</v>
      </c>
      <c r="L785" s="6" t="inlineStr"/>
      <c r="M785" s="7">
        <f>IF(L785&gt;0,(K785-L785)/K785*100,"")</f>
        <v/>
      </c>
    </row>
    <row r="786">
      <c r="A786" s="2" t="n">
        <v>785</v>
      </c>
      <c r="B786" s="2" t="inlineStr">
        <is>
          <t>EP-9976</t>
        </is>
      </c>
      <c r="C786" s="2" t="inlineStr">
        <is>
          <t>SET GANCHO X4</t>
        </is>
      </c>
      <c r="D786" s="2" t="inlineStr">
        <is>
          <t>Hogar y Decoración</t>
        </is>
      </c>
      <c r="E786" s="2" t="inlineStr">
        <is>
          <t>Organización del Hogar</t>
        </is>
      </c>
      <c r="F786" s="2" t="inlineStr">
        <is>
          <t>Percheros y Colgadores</t>
        </is>
      </c>
      <c r="G786" s="3" t="n">
        <v>46.5</v>
      </c>
      <c r="H786" s="4" t="n">
        <v>31</v>
      </c>
      <c r="I786" s="2" t="n">
        <v>28</v>
      </c>
      <c r="J786" s="5" t="n">
        <v>46118</v>
      </c>
      <c r="K786" s="3" t="n">
        <v>1.5</v>
      </c>
      <c r="L786" s="6" t="inlineStr"/>
      <c r="M786" s="7">
        <f>IF(L786&gt;0,(K786-L786)/K786*100,"")</f>
        <v/>
      </c>
    </row>
    <row r="787">
      <c r="A787" t="n">
        <v>786</v>
      </c>
      <c r="B787" t="inlineStr">
        <is>
          <t>EP-9534</t>
        </is>
      </c>
      <c r="C787" t="inlineStr">
        <is>
          <t>Espatula</t>
        </is>
      </c>
      <c r="D787" t="inlineStr">
        <is>
          <t>Hogar y Decoración</t>
        </is>
      </c>
      <c r="E787" t="inlineStr">
        <is>
          <t>Menaje de Cocina</t>
        </is>
      </c>
      <c r="F787" t="inlineStr">
        <is>
          <t>Utensilios de Cocina</t>
        </is>
      </c>
      <c r="G787" s="8" t="n">
        <v>45.78</v>
      </c>
      <c r="H787" s="9" t="n">
        <v>31</v>
      </c>
      <c r="I787" t="n">
        <v>24</v>
      </c>
      <c r="J787" s="10" t="n">
        <v>46115</v>
      </c>
      <c r="K787" s="8" t="n">
        <v>1.5</v>
      </c>
      <c r="L787" s="6" t="inlineStr"/>
      <c r="M787" s="7">
        <f>IF(L787&gt;0,(K787-L787)/K787*100,"")</f>
        <v/>
      </c>
    </row>
    <row r="788">
      <c r="A788" s="2" t="n">
        <v>787</v>
      </c>
      <c r="B788" s="2" t="inlineStr">
        <is>
          <t>7756847127495</t>
        </is>
      </c>
      <c r="C788" s="2" t="inlineStr">
        <is>
          <t>BODY SPRAY DESODORANTE 150ML GRAFFITY</t>
        </is>
      </c>
      <c r="D788" s="2" t="inlineStr">
        <is>
          <t>Cuidado Personal y Salud</t>
        </is>
      </c>
      <c r="E788" s="2" t="inlineStr">
        <is>
          <t>Higiene Personal</t>
        </is>
      </c>
      <c r="F788" s="2" t="inlineStr">
        <is>
          <t>Desodorantes</t>
        </is>
      </c>
      <c r="G788" s="3" t="n">
        <v>44.4</v>
      </c>
      <c r="H788" s="4" t="n">
        <v>5</v>
      </c>
      <c r="I788" s="2" t="n">
        <v>5</v>
      </c>
      <c r="J788" s="5" t="n">
        <v>46178</v>
      </c>
      <c r="K788" s="3" t="n">
        <v>8.880000000000001</v>
      </c>
      <c r="L788" s="6" t="inlineStr"/>
      <c r="M788" s="7">
        <f>IF(L788&gt;0,(K788-L788)/K788*100,"")</f>
        <v/>
      </c>
    </row>
    <row r="789">
      <c r="A789" t="n">
        <v>788</v>
      </c>
      <c r="B789" t="inlineStr">
        <is>
          <t>MER-46</t>
        </is>
      </c>
      <c r="C789" t="inlineStr">
        <is>
          <t>COLORES JUMBO MERCYFAN</t>
        </is>
      </c>
      <c r="D789" t="inlineStr">
        <is>
          <t>Librería y Oficina</t>
        </is>
      </c>
      <c r="E789" t="inlineStr">
        <is>
          <t>Útiles Escolares</t>
        </is>
      </c>
      <c r="F789" t="inlineStr">
        <is>
          <t>Colores y Crayolas</t>
        </is>
      </c>
      <c r="G789" s="8" t="n">
        <v>44.28</v>
      </c>
      <c r="H789" s="9" t="n">
        <v>6</v>
      </c>
      <c r="I789" t="n">
        <v>1</v>
      </c>
      <c r="J789" s="10" t="n">
        <v>46090</v>
      </c>
      <c r="K789" s="8" t="n">
        <v>7.38</v>
      </c>
      <c r="L789" s="6" t="inlineStr"/>
      <c r="M789" s="7">
        <f>IF(L789&gt;0,(K789-L789)/K789*100,"")</f>
        <v/>
      </c>
    </row>
    <row r="790">
      <c r="A790" s="2" t="n">
        <v>789</v>
      </c>
      <c r="B790" s="2" t="inlineStr">
        <is>
          <t>75866770129764</t>
        </is>
      </c>
      <c r="C790" s="2" t="inlineStr">
        <is>
          <t>SOPA DAREN SOPA DE POLLO FIDEOS</t>
        </is>
      </c>
      <c r="D790" s="2" t="inlineStr">
        <is>
          <t>Alimentos y Bebidas Importadas</t>
        </is>
      </c>
      <c r="E790" s="2" t="inlineStr">
        <is>
          <t>Sopas y Fideos Instantáneos</t>
        </is>
      </c>
      <c r="F790" s="2" t="inlineStr">
        <is>
          <t>Sopas Instantáneas</t>
        </is>
      </c>
      <c r="G790" s="3" t="n">
        <v>42.5</v>
      </c>
      <c r="H790" s="4" t="n">
        <v>5</v>
      </c>
      <c r="I790" s="2" t="n">
        <v>4</v>
      </c>
      <c r="J790" s="5" t="n">
        <v>46107</v>
      </c>
      <c r="K790" s="3" t="n">
        <v>8.5</v>
      </c>
      <c r="L790" s="6" t="inlineStr"/>
      <c r="M790" s="7">
        <f>IF(L790&gt;0,(K790-L790)/K790*100,"")</f>
        <v/>
      </c>
    </row>
    <row r="791">
      <c r="A791" t="n">
        <v>790</v>
      </c>
      <c r="B791" t="inlineStr">
        <is>
          <t>0531-18</t>
        </is>
      </c>
      <c r="C791" t="inlineStr">
        <is>
          <t>JARRA</t>
        </is>
      </c>
      <c r="D791" t="inlineStr">
        <is>
          <t>Hogar y Decoración</t>
        </is>
      </c>
      <c r="E791" t="inlineStr">
        <is>
          <t>Menaje de Comedor</t>
        </is>
      </c>
      <c r="F791" t="inlineStr">
        <is>
          <t>Jarras</t>
        </is>
      </c>
      <c r="G791" s="8" t="n">
        <v>41.3</v>
      </c>
      <c r="H791" s="9" t="n">
        <v>7</v>
      </c>
      <c r="I791" t="n">
        <v>5</v>
      </c>
      <c r="J791" s="10" t="n">
        <v>46149</v>
      </c>
      <c r="K791" s="8" t="n">
        <v>5.9</v>
      </c>
      <c r="L791" s="6" t="inlineStr"/>
      <c r="M791" s="7">
        <f>IF(L791&gt;0,(K791-L791)/K791*100,"")</f>
        <v/>
      </c>
    </row>
    <row r="792">
      <c r="A792" s="2" t="n">
        <v>791</v>
      </c>
      <c r="B792" s="2" t="inlineStr">
        <is>
          <t>74914422936423</t>
        </is>
      </c>
      <c r="C792" s="2" t="inlineStr">
        <is>
          <t>SKY MENTOL ESPUMA DE AFEITAR 200ML</t>
        </is>
      </c>
      <c r="D792" s="2" t="inlineStr">
        <is>
          <t>Cuidado Personal y Salud</t>
        </is>
      </c>
      <c r="E792" s="2" t="inlineStr">
        <is>
          <t>Afeitado</t>
        </is>
      </c>
      <c r="F792" s="2" t="inlineStr">
        <is>
          <t>Espumas y Gel de Afeitar</t>
        </is>
      </c>
      <c r="G792" s="3" t="n">
        <v>40.8</v>
      </c>
      <c r="H792" s="4" t="n">
        <v>4</v>
      </c>
      <c r="I792" s="2" t="n">
        <v>4</v>
      </c>
      <c r="J792" s="5" t="n">
        <v>46140</v>
      </c>
      <c r="K792" s="3" t="n">
        <v>10.2</v>
      </c>
      <c r="L792" s="6" t="inlineStr"/>
      <c r="M792" s="7">
        <f>IF(L792&gt;0,(K792-L792)/K792*100,"")</f>
        <v/>
      </c>
    </row>
    <row r="793">
      <c r="A793" t="n">
        <v>792</v>
      </c>
      <c r="B793" t="inlineStr">
        <is>
          <t>GF-3191</t>
        </is>
      </c>
      <c r="C793" t="inlineStr">
        <is>
          <t>SET ESPONJA + MAQUILLAJE</t>
        </is>
      </c>
      <c r="D793" t="inlineStr">
        <is>
          <t>Belleza</t>
        </is>
      </c>
      <c r="E793" t="inlineStr">
        <is>
          <t>Maquillaje y Cosméticos</t>
        </is>
      </c>
      <c r="F793" t="inlineStr">
        <is>
          <t>Esponja para Maquillaje</t>
        </is>
      </c>
      <c r="G793" s="8" t="n">
        <v>39.6</v>
      </c>
      <c r="H793" s="9" t="n">
        <v>18</v>
      </c>
      <c r="I793" t="n">
        <v>18</v>
      </c>
      <c r="J793" s="10" t="n">
        <v>46094</v>
      </c>
      <c r="K793" s="8" t="n">
        <v>2.2</v>
      </c>
      <c r="L793" s="6" t="inlineStr"/>
      <c r="M793" s="7">
        <f>IF(L793&gt;0,(K793-L793)/K793*100,"")</f>
        <v/>
      </c>
    </row>
    <row r="794">
      <c r="A794" s="2" t="n">
        <v>793</v>
      </c>
      <c r="B794" s="2" t="inlineStr">
        <is>
          <t>76754493003729</t>
        </is>
      </c>
      <c r="C794" s="2" t="inlineStr">
        <is>
          <t>GALLETAS SABOR FRESA 137GR * 30</t>
        </is>
      </c>
      <c r="D794" s="2" t="inlineStr">
        <is>
          <t>Alimentos y Bebidas Importadas</t>
        </is>
      </c>
      <c r="E794" s="2" t="inlineStr">
        <is>
          <t>Snacks y Dulces Asiáticos</t>
        </is>
      </c>
      <c r="F794" s="2" t="inlineStr">
        <is>
          <t>Galletas y Bocaditos Dulces</t>
        </is>
      </c>
      <c r="G794" s="3" t="n">
        <v>39.5</v>
      </c>
      <c r="H794" s="4" t="n">
        <v>5</v>
      </c>
      <c r="I794" s="2" t="n">
        <v>5</v>
      </c>
      <c r="J794" s="5" t="n">
        <v>46110</v>
      </c>
      <c r="K794" s="3" t="n">
        <v>7.9</v>
      </c>
      <c r="L794" s="6" t="inlineStr"/>
      <c r="M794" s="7">
        <f>IF(L794&gt;0,(K794-L794)/K794*100,"")</f>
        <v/>
      </c>
    </row>
    <row r="795">
      <c r="A795" t="n">
        <v>794</v>
      </c>
      <c r="B795" t="inlineStr">
        <is>
          <t>75755617782327</t>
        </is>
      </c>
      <c r="C795" t="inlineStr">
        <is>
          <t>Caramelo Sabor Durian manguo 82G*3</t>
        </is>
      </c>
      <c r="D795" t="inlineStr">
        <is>
          <t>Alimentos y Bebidas Importadas</t>
        </is>
      </c>
      <c r="E795" t="inlineStr">
        <is>
          <t>Snacks y Dulces Asiáticos</t>
        </is>
      </c>
      <c r="F795" t="inlineStr">
        <is>
          <t>Caramelos y Gomitas</t>
        </is>
      </c>
      <c r="G795" s="8" t="n">
        <v>39.2</v>
      </c>
      <c r="H795" s="9" t="n">
        <v>8</v>
      </c>
      <c r="I795" t="n">
        <v>8</v>
      </c>
      <c r="J795" s="10" t="n">
        <v>46117</v>
      </c>
      <c r="K795" s="8" t="n">
        <v>4.9</v>
      </c>
      <c r="L795" s="6" t="inlineStr"/>
      <c r="M795" s="7">
        <f>IF(L795&gt;0,(K795-L795)/K795*100,"")</f>
        <v/>
      </c>
    </row>
    <row r="796">
      <c r="A796" s="2" t="n">
        <v>795</v>
      </c>
      <c r="B796" s="2" t="inlineStr">
        <is>
          <t>CK-10225</t>
        </is>
      </c>
      <c r="C796" s="2" t="inlineStr">
        <is>
          <t>SET LIGAS</t>
        </is>
      </c>
      <c r="D796" s="2" t="inlineStr">
        <is>
          <t>Accesorios</t>
        </is>
      </c>
      <c r="E796" s="2" t="inlineStr">
        <is>
          <t>Accesorios para Cabello</t>
        </is>
      </c>
      <c r="F796" s="2" t="inlineStr">
        <is>
          <t>Colets y Ganchos</t>
        </is>
      </c>
      <c r="G796" s="3" t="n">
        <v>39</v>
      </c>
      <c r="H796" s="4" t="n">
        <v>26</v>
      </c>
      <c r="I796" s="2" t="n">
        <v>23</v>
      </c>
      <c r="J796" s="5" t="n">
        <v>46124</v>
      </c>
      <c r="K796" s="3" t="n">
        <v>1.5</v>
      </c>
      <c r="L796" s="6" t="inlineStr"/>
      <c r="M796" s="7">
        <f>IF(L796&gt;0,(K796-L796)/K796*100,"")</f>
        <v/>
      </c>
    </row>
    <row r="797">
      <c r="A797" t="n">
        <v>796</v>
      </c>
      <c r="B797" t="inlineStr">
        <is>
          <t>XK-034</t>
        </is>
      </c>
      <c r="C797" t="inlineStr">
        <is>
          <t>SET CARRO X4</t>
        </is>
      </c>
      <c r="D797" t="inlineStr">
        <is>
          <t>Juguetes y Juegos</t>
        </is>
      </c>
      <c r="E797" t="inlineStr">
        <is>
          <t>Juguetes</t>
        </is>
      </c>
      <c r="F797" t="inlineStr">
        <is>
          <t>Juguetes Variados</t>
        </is>
      </c>
      <c r="G797" s="8" t="n">
        <v>38.5</v>
      </c>
      <c r="H797" s="9" t="n">
        <v>7</v>
      </c>
      <c r="I797" t="n">
        <v>7</v>
      </c>
      <c r="J797" s="10" t="n">
        <v>46158</v>
      </c>
      <c r="K797" s="8" t="n">
        <v>5.5</v>
      </c>
      <c r="L797" s="6" t="inlineStr"/>
      <c r="M797" s="7">
        <f>IF(L797&gt;0,(K797-L797)/K797*100,"")</f>
        <v/>
      </c>
    </row>
    <row r="798">
      <c r="A798" s="2" t="n">
        <v>797</v>
      </c>
      <c r="B798" s="2" t="inlineStr">
        <is>
          <t>75356239270954</t>
        </is>
      </c>
      <c r="C798" s="2" t="inlineStr">
        <is>
          <t>BYWIN COLONIA X 250ML PATO DONALD LT.</t>
        </is>
      </c>
      <c r="D798" s="2" t="inlineStr">
        <is>
          <t>Belleza</t>
        </is>
      </c>
      <c r="E798" s="2" t="inlineStr">
        <is>
          <t>Perfumes y Fragancias</t>
        </is>
      </c>
      <c r="F798" s="2" t="inlineStr">
        <is>
          <t>Perfumes Infantiles con Licencia</t>
        </is>
      </c>
      <c r="G798" s="3" t="n">
        <v>37.5</v>
      </c>
      <c r="H798" s="4" t="n">
        <v>3</v>
      </c>
      <c r="I798" s="2" t="n">
        <v>3</v>
      </c>
      <c r="J798" s="5" t="n">
        <v>46123</v>
      </c>
      <c r="K798" s="3" t="n">
        <v>12.5</v>
      </c>
      <c r="L798" s="6" t="inlineStr"/>
      <c r="M798" s="7">
        <f>IF(L798&gt;0,(K798-L798)/K798*100,"")</f>
        <v/>
      </c>
    </row>
    <row r="799">
      <c r="A799" t="n">
        <v>798</v>
      </c>
      <c r="B799" t="inlineStr">
        <is>
          <t>P0127</t>
        </is>
      </c>
      <c r="C799" t="inlineStr">
        <is>
          <t>PAPEL LUSTRE A3</t>
        </is>
      </c>
      <c r="D799" t="inlineStr">
        <is>
          <t>Librería y Oficina</t>
        </is>
      </c>
      <c r="E799" t="inlineStr">
        <is>
          <t>Útiles Escolares</t>
        </is>
      </c>
      <c r="F799" t="inlineStr">
        <is>
          <t>Papeles y Cartulinas</t>
        </is>
      </c>
      <c r="G799" s="8" t="n">
        <v>37.5</v>
      </c>
      <c r="H799" s="9" t="n">
        <v>5</v>
      </c>
      <c r="I799" t="n">
        <v>1</v>
      </c>
      <c r="J799" s="10" t="n">
        <v>46094</v>
      </c>
      <c r="K799" s="8" t="n">
        <v>7.5</v>
      </c>
      <c r="L799" s="6" t="inlineStr"/>
      <c r="M799" s="7">
        <f>IF(L799&gt;0,(K799-L799)/K799*100,"")</f>
        <v/>
      </c>
    </row>
    <row r="800">
      <c r="A800" s="2" t="n">
        <v>799</v>
      </c>
      <c r="B800" s="2" t="inlineStr">
        <is>
          <t>75356239163618</t>
        </is>
      </c>
      <c r="C800" s="2" t="inlineStr">
        <is>
          <t>BYWIN COLONIA X 250ML MICKEY BABY LT.</t>
        </is>
      </c>
      <c r="D800" s="2" t="inlineStr">
        <is>
          <t>Belleza</t>
        </is>
      </c>
      <c r="E800" s="2" t="inlineStr">
        <is>
          <t>Perfumes y Fragancias</t>
        </is>
      </c>
      <c r="F800" s="2" t="inlineStr">
        <is>
          <t>Perfumes Infantiles con Licencia</t>
        </is>
      </c>
      <c r="G800" s="3" t="n">
        <v>37.5</v>
      </c>
      <c r="H800" s="4" t="n">
        <v>3</v>
      </c>
      <c r="I800" s="2" t="n">
        <v>3</v>
      </c>
      <c r="J800" s="5" t="n">
        <v>46147</v>
      </c>
      <c r="K800" s="3" t="n">
        <v>12.5</v>
      </c>
      <c r="L800" s="6" t="inlineStr"/>
      <c r="M800" s="7">
        <f>IF(L800&gt;0,(K800-L800)/K800*100,"")</f>
        <v/>
      </c>
    </row>
    <row r="801">
      <c r="A801" t="n">
        <v>800</v>
      </c>
      <c r="B801" t="inlineStr">
        <is>
          <t>75356239168576</t>
        </is>
      </c>
      <c r="C801" t="inlineStr">
        <is>
          <t>BYWIN COLONIA X 250ML GROOT LT.</t>
        </is>
      </c>
      <c r="D801" t="inlineStr">
        <is>
          <t>Belleza</t>
        </is>
      </c>
      <c r="E801" t="inlineStr">
        <is>
          <t>Perfumes y Fragancias</t>
        </is>
      </c>
      <c r="F801" t="inlineStr">
        <is>
          <t>Perfumes Infantiles con Licencia</t>
        </is>
      </c>
      <c r="G801" s="8" t="n">
        <v>37.5</v>
      </c>
      <c r="H801" s="9" t="n">
        <v>3</v>
      </c>
      <c r="I801" t="n">
        <v>2</v>
      </c>
      <c r="J801" s="10" t="n">
        <v>46103</v>
      </c>
      <c r="K801" s="8" t="n">
        <v>12.5</v>
      </c>
      <c r="L801" s="6" t="inlineStr"/>
      <c r="M801" s="7">
        <f>IF(L801&gt;0,(K801-L801)/K801*100,"")</f>
        <v/>
      </c>
    </row>
    <row r="802">
      <c r="A802" s="2" t="n">
        <v>801</v>
      </c>
      <c r="B802" s="2" t="inlineStr">
        <is>
          <t>D039</t>
        </is>
      </c>
      <c r="C802" s="2" t="inlineStr">
        <is>
          <t>GOMA ESCARCHADA</t>
        </is>
      </c>
      <c r="D802" s="2" t="inlineStr">
        <is>
          <t>Librería y Oficina</t>
        </is>
      </c>
      <c r="E802" s="2" t="inlineStr">
        <is>
          <t>Útiles Escolares</t>
        </is>
      </c>
      <c r="F802" s="2" t="inlineStr">
        <is>
          <t>Pegamentos y Silicona</t>
        </is>
      </c>
      <c r="G802" s="3" t="n">
        <v>36.1</v>
      </c>
      <c r="H802" s="4" t="n">
        <v>19</v>
      </c>
      <c r="I802" s="2" t="n">
        <v>17</v>
      </c>
      <c r="J802" s="5" t="n">
        <v>46100</v>
      </c>
      <c r="K802" s="3" t="n">
        <v>1.9</v>
      </c>
      <c r="L802" s="6" t="inlineStr"/>
      <c r="M802" s="7">
        <f>IF(L802&gt;0,(K802-L802)/K802*100,"")</f>
        <v/>
      </c>
    </row>
    <row r="803">
      <c r="A803" t="n">
        <v>802</v>
      </c>
      <c r="B803" t="inlineStr">
        <is>
          <t>ESC-19</t>
        </is>
      </c>
      <c r="C803" t="inlineStr">
        <is>
          <t>FORRO FACIL MERCYFAN CORTO A4</t>
        </is>
      </c>
      <c r="D803" t="inlineStr">
        <is>
          <t>Librería y Oficina</t>
        </is>
      </c>
      <c r="E803" t="inlineStr">
        <is>
          <t>Útiles Escolares</t>
        </is>
      </c>
      <c r="F803" t="inlineStr">
        <is>
          <t>Forros para Cuadernos</t>
        </is>
      </c>
      <c r="G803" s="8" t="n">
        <v>35.4</v>
      </c>
      <c r="H803" s="9" t="n">
        <v>6</v>
      </c>
      <c r="I803" t="n">
        <v>6</v>
      </c>
      <c r="J803" s="10" t="n">
        <v>46102</v>
      </c>
      <c r="K803" s="8" t="n">
        <v>5.9</v>
      </c>
      <c r="L803" s="6" t="inlineStr"/>
      <c r="M803" s="7">
        <f>IF(L803&gt;0,(K803-L803)/K803*100,"")</f>
        <v/>
      </c>
    </row>
    <row r="804">
      <c r="A804" s="2" t="n">
        <v>803</v>
      </c>
      <c r="B804" s="2" t="inlineStr">
        <is>
          <t>75866770047241</t>
        </is>
      </c>
      <c r="C804" s="2" t="inlineStr">
        <is>
          <t>GALLETAS CON SABOR A FRESA</t>
        </is>
      </c>
      <c r="D804" s="2" t="inlineStr">
        <is>
          <t>Alimentos y Bebidas Importadas</t>
        </is>
      </c>
      <c r="E804" s="2" t="inlineStr">
        <is>
          <t>Snacks y Dulces Asiáticos</t>
        </is>
      </c>
      <c r="F804" s="2" t="inlineStr">
        <is>
          <t>Galletas y Bocaditos Dulces</t>
        </is>
      </c>
      <c r="G804" s="3" t="n">
        <v>35.4</v>
      </c>
      <c r="H804" s="4" t="n">
        <v>6</v>
      </c>
      <c r="I804" s="2" t="n">
        <v>6</v>
      </c>
      <c r="J804" s="5" t="n">
        <v>46103</v>
      </c>
      <c r="K804" s="3" t="n">
        <v>5.9</v>
      </c>
      <c r="L804" s="6" t="inlineStr"/>
      <c r="M804" s="7">
        <f>IF(L804&gt;0,(K804-L804)/K804*100,"")</f>
        <v/>
      </c>
    </row>
    <row r="805">
      <c r="A805" t="n">
        <v>804</v>
      </c>
      <c r="B805" t="inlineStr">
        <is>
          <t>FD-900</t>
        </is>
      </c>
      <c r="C805" t="inlineStr">
        <is>
          <t>ROBOT LANZA TAPS</t>
        </is>
      </c>
      <c r="D805" t="inlineStr">
        <is>
          <t>Juguetes y Juegos</t>
        </is>
      </c>
      <c r="E805" t="inlineStr">
        <is>
          <t>Juguetes</t>
        </is>
      </c>
      <c r="F805" t="inlineStr">
        <is>
          <t>Pistolas de Juguete</t>
        </is>
      </c>
      <c r="G805" s="8" t="n">
        <v>35.2</v>
      </c>
      <c r="H805" s="9" t="n">
        <v>11</v>
      </c>
      <c r="I805" t="n">
        <v>11</v>
      </c>
      <c r="J805" s="10" t="n">
        <v>46103</v>
      </c>
      <c r="K805" s="8" t="n">
        <v>3.2</v>
      </c>
      <c r="L805" s="6" t="inlineStr"/>
      <c r="M805" s="7">
        <f>IF(L805&gt;0,(K805-L805)/K805*100,"")</f>
        <v/>
      </c>
    </row>
    <row r="806">
      <c r="A806" s="2" t="n">
        <v>805</v>
      </c>
      <c r="B806" s="2" t="inlineStr">
        <is>
          <t>804132</t>
        </is>
      </c>
      <c r="C806" s="2" t="inlineStr">
        <is>
          <t>23 SCOOL RANGER MOCH KIDS TELA C/PVC JURASSIC BLUE</t>
        </is>
      </c>
      <c r="D806" s="2" t="inlineStr">
        <is>
          <t>Librería y Oficina</t>
        </is>
      </c>
      <c r="E806" s="2" t="inlineStr">
        <is>
          <t>Mochilas y Cartucheras</t>
        </is>
      </c>
      <c r="F806" s="2" t="inlineStr">
        <is>
          <t>Mochilas Escolares</t>
        </is>
      </c>
      <c r="G806" s="3" t="n">
        <v>34.9</v>
      </c>
      <c r="H806" s="4" t="n">
        <v>1</v>
      </c>
      <c r="I806" s="2" t="n">
        <v>1</v>
      </c>
      <c r="J806" s="5" t="n">
        <v>46092</v>
      </c>
      <c r="K806" s="3" t="n">
        <v>34.9</v>
      </c>
      <c r="L806" s="6" t="inlineStr"/>
      <c r="M806" s="7">
        <f>IF(L806&gt;0,(K806-L806)/K806*100,"")</f>
        <v/>
      </c>
    </row>
    <row r="807">
      <c r="A807" t="n">
        <v>806</v>
      </c>
      <c r="B807" t="inlineStr">
        <is>
          <t>77204702006086</t>
        </is>
      </c>
      <c r="C807" t="inlineStr">
        <is>
          <t>CARAMELO BLANDO C/CREMA DURAZ Y YO</t>
        </is>
      </c>
      <c r="D807" t="inlineStr">
        <is>
          <t>Alimentos y Bebidas Importadas</t>
        </is>
      </c>
      <c r="E807" t="inlineStr">
        <is>
          <t>Snacks y Dulces Asiáticos</t>
        </is>
      </c>
      <c r="F807" t="inlineStr">
        <is>
          <t>Caramelos y Gomitas</t>
        </is>
      </c>
      <c r="G807" s="8" t="n">
        <v>34.3</v>
      </c>
      <c r="H807" s="9" t="n">
        <v>7</v>
      </c>
      <c r="I807" t="n">
        <v>7</v>
      </c>
      <c r="J807" s="10" t="n">
        <v>46092</v>
      </c>
      <c r="K807" s="8" t="n">
        <v>4.9</v>
      </c>
      <c r="L807" s="6" t="inlineStr"/>
      <c r="M807" s="7">
        <f>IF(L807&gt;0,(K807-L807)/K807*100,"")</f>
        <v/>
      </c>
    </row>
    <row r="808">
      <c r="A808" s="2" t="n">
        <v>807</v>
      </c>
      <c r="B808" s="2" t="inlineStr">
        <is>
          <t>360222</t>
        </is>
      </c>
      <c r="C808" s="2" t="inlineStr">
        <is>
          <t>ME TOO KNOCKOUT EDT 50ML</t>
        </is>
      </c>
      <c r="D808" s="2" t="inlineStr">
        <is>
          <t>Belleza</t>
        </is>
      </c>
      <c r="E808" s="2" t="inlineStr">
        <is>
          <t>Perfumes y Fragancias</t>
        </is>
      </c>
      <c r="F808" s="2" t="inlineStr">
        <is>
          <t>Perfumes para Hombre</t>
        </is>
      </c>
      <c r="G808" s="3" t="n">
        <v>33.8</v>
      </c>
      <c r="H808" s="4" t="n">
        <v>2</v>
      </c>
      <c r="I808" s="2" t="n">
        <v>2</v>
      </c>
      <c r="J808" s="5" t="n">
        <v>46117</v>
      </c>
      <c r="K808" s="3" t="n">
        <v>16.9</v>
      </c>
      <c r="L808" s="6" t="inlineStr"/>
      <c r="M808" s="7">
        <f>IF(L808&gt;0,(K808-L808)/K808*100,"")</f>
        <v/>
      </c>
    </row>
    <row r="809">
      <c r="A809" t="n">
        <v>808</v>
      </c>
      <c r="B809" t="inlineStr">
        <is>
          <t>MER3-V</t>
        </is>
      </c>
      <c r="C809" t="inlineStr">
        <is>
          <t>PLUMON JUMBO PARA PAPEL X12</t>
        </is>
      </c>
      <c r="D809" t="inlineStr">
        <is>
          <t>Librería y Oficina</t>
        </is>
      </c>
      <c r="E809" t="inlineStr">
        <is>
          <t>Útiles Escolares</t>
        </is>
      </c>
      <c r="F809" t="inlineStr">
        <is>
          <t>Plumones y Marcadores</t>
        </is>
      </c>
      <c r="G809" s="8" t="n">
        <v>33.23</v>
      </c>
      <c r="H809" s="9" t="n">
        <v>37</v>
      </c>
      <c r="I809" t="n">
        <v>27</v>
      </c>
      <c r="J809" s="10" t="n">
        <v>46111</v>
      </c>
      <c r="K809" s="8" t="n">
        <v>0.9</v>
      </c>
      <c r="L809" s="6" t="inlineStr"/>
      <c r="M809" s="7">
        <f>IF(L809&gt;0,(K809-L809)/K809*100,"")</f>
        <v/>
      </c>
    </row>
    <row r="810">
      <c r="A810" s="2" t="n">
        <v>809</v>
      </c>
      <c r="B810" s="2" t="inlineStr">
        <is>
          <t>150101</t>
        </is>
      </c>
      <c r="C810" s="2" t="inlineStr">
        <is>
          <t>FOCO LED 30W</t>
        </is>
      </c>
      <c r="D810" s="2" t="inlineStr">
        <is>
          <t>Mejoramiento del Hogar</t>
        </is>
      </c>
      <c r="E810" s="2" t="inlineStr">
        <is>
          <t>Iluminación</t>
        </is>
      </c>
      <c r="F810" s="2" t="inlineStr">
        <is>
          <t>Luces y Focos</t>
        </is>
      </c>
      <c r="G810" s="3" t="n">
        <v>33</v>
      </c>
      <c r="H810" s="4" t="n">
        <v>6</v>
      </c>
      <c r="I810" s="2" t="n">
        <v>6</v>
      </c>
      <c r="J810" s="5" t="n">
        <v>46094</v>
      </c>
      <c r="K810" s="3" t="n">
        <v>5.5</v>
      </c>
      <c r="L810" s="6" t="inlineStr"/>
      <c r="M810" s="7">
        <f>IF(L810&gt;0,(K810-L810)/K810*100,"")</f>
        <v/>
      </c>
    </row>
    <row r="811">
      <c r="A811" t="n">
        <v>810</v>
      </c>
      <c r="B811" t="inlineStr">
        <is>
          <t>ZS76-02</t>
        </is>
      </c>
      <c r="C811" t="inlineStr">
        <is>
          <t>PEGAMENTO INDUSTRIAL X12</t>
        </is>
      </c>
      <c r="D811" t="inlineStr">
        <is>
          <t>Librería y Oficina</t>
        </is>
      </c>
      <c r="E811" t="inlineStr">
        <is>
          <t>Útiles Escolares</t>
        </is>
      </c>
      <c r="F811" t="inlineStr">
        <is>
          <t>Pegamentos y Silicona</t>
        </is>
      </c>
      <c r="G811" s="8" t="n">
        <v>32.9</v>
      </c>
      <c r="H811" s="9" t="n">
        <v>7</v>
      </c>
      <c r="I811" t="n">
        <v>6</v>
      </c>
      <c r="J811" s="10" t="n">
        <v>46092</v>
      </c>
      <c r="K811" s="8" t="n">
        <v>4.7</v>
      </c>
      <c r="L811" s="6" t="inlineStr"/>
      <c r="M811" s="7">
        <f>IF(L811&gt;0,(K811-L811)/K811*100,"")</f>
        <v/>
      </c>
    </row>
    <row r="812">
      <c r="A812" s="2" t="n">
        <v>811</v>
      </c>
      <c r="B812" s="2" t="inlineStr">
        <is>
          <t>VAL160205</t>
        </is>
      </c>
      <c r="C812" s="2" t="inlineStr">
        <is>
          <t>Detergente Aladino Aroma Limón 2.5Kg</t>
        </is>
      </c>
      <c r="D812" s="2" t="inlineStr">
        <is>
          <t>Limpieza</t>
        </is>
      </c>
      <c r="E812" s="2" t="inlineStr">
        <is>
          <t>Detergentes y Suavizantes</t>
        </is>
      </c>
      <c r="F812" s="2" t="inlineStr">
        <is>
          <t>Detergentes en Polvo</t>
        </is>
      </c>
      <c r="G812" s="3" t="n">
        <v>32.7</v>
      </c>
      <c r="H812" s="4" t="n">
        <v>3</v>
      </c>
      <c r="I812" s="2" t="n">
        <v>3</v>
      </c>
      <c r="J812" s="5" t="n">
        <v>46177</v>
      </c>
      <c r="K812" s="3" t="n">
        <v>10.9</v>
      </c>
      <c r="L812" s="6" t="inlineStr"/>
      <c r="M812" s="7">
        <f>IF(L812&gt;0,(K812-L812)/K812*100,"")</f>
        <v/>
      </c>
    </row>
    <row r="813">
      <c r="A813" t="n">
        <v>812</v>
      </c>
      <c r="B813" t="inlineStr">
        <is>
          <t>205-3</t>
        </is>
      </c>
      <c r="C813" t="inlineStr">
        <is>
          <t>JGT PISTOLA SET</t>
        </is>
      </c>
      <c r="D813" t="inlineStr">
        <is>
          <t>Juguetes y Juegos</t>
        </is>
      </c>
      <c r="E813" t="inlineStr">
        <is>
          <t>Juguetes</t>
        </is>
      </c>
      <c r="F813" t="inlineStr">
        <is>
          <t>Juguetes Variados</t>
        </is>
      </c>
      <c r="G813" s="8" t="n">
        <v>32.3</v>
      </c>
      <c r="H813" s="9" t="n">
        <v>17</v>
      </c>
      <c r="I813" t="n">
        <v>17</v>
      </c>
      <c r="J813" s="10" t="n">
        <v>46107</v>
      </c>
      <c r="K813" s="8" t="n">
        <v>1.9</v>
      </c>
      <c r="L813" s="6" t="inlineStr"/>
      <c r="M813" s="7">
        <f>IF(L813&gt;0,(K813-L813)/K813*100,"")</f>
        <v/>
      </c>
    </row>
    <row r="814">
      <c r="A814" s="2" t="n">
        <v>813</v>
      </c>
      <c r="B814" s="2" t="inlineStr">
        <is>
          <t>7750885009478</t>
        </is>
      </c>
      <c r="C814" s="2" t="inlineStr">
        <is>
          <t>ambrosoli gomitas fripy</t>
        </is>
      </c>
      <c r="D814" s="2" t="inlineStr">
        <is>
          <t>Abarrotes</t>
        </is>
      </c>
      <c r="E814" s="2" t="inlineStr">
        <is>
          <t>Dulces y Chocolates</t>
        </is>
      </c>
      <c r="F814" s="2" t="inlineStr">
        <is>
          <t>Gomitas</t>
        </is>
      </c>
      <c r="G814" s="3" t="n">
        <v>32</v>
      </c>
      <c r="H814" s="4" t="n">
        <v>40</v>
      </c>
      <c r="I814" s="2" t="n">
        <v>36</v>
      </c>
      <c r="J814" s="5" t="n">
        <v>46156</v>
      </c>
      <c r="K814" s="3" t="n">
        <v>0.8</v>
      </c>
      <c r="L814" s="6" t="inlineStr"/>
      <c r="M814" s="7">
        <f>IF(L814&gt;0,(K814-L814)/K814*100,"")</f>
        <v/>
      </c>
    </row>
    <row r="815">
      <c r="A815" t="n">
        <v>814</v>
      </c>
      <c r="B815" t="inlineStr">
        <is>
          <t>AGS-130</t>
        </is>
      </c>
      <c r="C815" t="inlineStr">
        <is>
          <t>SOMBRA CHULA JARUSA</t>
        </is>
      </c>
      <c r="D815" t="inlineStr">
        <is>
          <t>Belleza</t>
        </is>
      </c>
      <c r="E815" t="inlineStr">
        <is>
          <t>Maquillaje y Cosméticos</t>
        </is>
      </c>
      <c r="F815" t="inlineStr">
        <is>
          <t>Sombras de Ojos</t>
        </is>
      </c>
      <c r="G815" s="8" t="n">
        <v>31.8</v>
      </c>
      <c r="H815" s="9" t="n">
        <v>2</v>
      </c>
      <c r="I815" t="n">
        <v>2</v>
      </c>
      <c r="J815" s="10" t="n">
        <v>46104</v>
      </c>
      <c r="K815" s="8" t="n">
        <v>15.9</v>
      </c>
      <c r="L815" s="6" t="inlineStr"/>
      <c r="M815" s="7">
        <f>IF(L815&gt;0,(K815-L815)/K815*100,"")</f>
        <v/>
      </c>
    </row>
    <row r="816">
      <c r="A816" s="2" t="n">
        <v>815</v>
      </c>
      <c r="B816" s="2" t="inlineStr">
        <is>
          <t>P-136-806</t>
        </is>
      </c>
      <c r="C816" s="2" t="inlineStr">
        <is>
          <t>EXTENSION</t>
        </is>
      </c>
      <c r="D816" s="2" t="inlineStr">
        <is>
          <t>Tecnología</t>
        </is>
      </c>
      <c r="E816" s="2" t="inlineStr">
        <is>
          <t>Accesorios Tecnológicos</t>
        </is>
      </c>
      <c r="F816" s="2" t="inlineStr">
        <is>
          <t>Extensiones e Interruptores</t>
        </is>
      </c>
      <c r="G816" s="3" t="n">
        <v>31.8</v>
      </c>
      <c r="H816" s="4" t="n">
        <v>2</v>
      </c>
      <c r="I816" s="2" t="n">
        <v>2</v>
      </c>
      <c r="J816" s="5" t="n">
        <v>46095</v>
      </c>
      <c r="K816" s="3" t="n">
        <v>15.9</v>
      </c>
      <c r="L816" s="6" t="inlineStr"/>
      <c r="M816" s="7">
        <f>IF(L816&gt;0,(K816-L816)/K816*100,"")</f>
        <v/>
      </c>
    </row>
    <row r="817">
      <c r="A817" t="n">
        <v>816</v>
      </c>
      <c r="B817" t="inlineStr">
        <is>
          <t>75684500227458</t>
        </is>
      </c>
      <c r="C817" t="inlineStr">
        <is>
          <t>GEL DE BAÑO SHOWER GEL 430ML + SPLASH GEL 240ML DAYA</t>
        </is>
      </c>
      <c r="D817" t="inlineStr">
        <is>
          <t>Belleza</t>
        </is>
      </c>
      <c r="E817" t="inlineStr">
        <is>
          <t>Cuidado de la Piel Corporal</t>
        </is>
      </c>
      <c r="F817" t="inlineStr">
        <is>
          <t>Geles de Baño</t>
        </is>
      </c>
      <c r="G817" s="8" t="n">
        <v>31.5</v>
      </c>
      <c r="H817" s="9" t="n">
        <v>1</v>
      </c>
      <c r="I817" t="n">
        <v>1</v>
      </c>
      <c r="J817" s="10" t="n">
        <v>46145</v>
      </c>
      <c r="K817" s="8" t="n">
        <v>31.5</v>
      </c>
      <c r="L817" s="6" t="inlineStr"/>
      <c r="M817" s="7">
        <f>IF(L817&gt;0,(K817-L817)/K817*100,"")</f>
        <v/>
      </c>
    </row>
    <row r="818">
      <c r="A818" s="2" t="n">
        <v>817</v>
      </c>
      <c r="B818" s="2" t="inlineStr">
        <is>
          <t>1803</t>
        </is>
      </c>
      <c r="C818" s="2" t="inlineStr">
        <is>
          <t>ACLARA-T CREMA ACLARANTE B3 PIEL NORMAL A SECA SHASHET</t>
        </is>
      </c>
      <c r="D818" s="2" t="inlineStr">
        <is>
          <t>Belleza</t>
        </is>
      </c>
      <c r="E818" s="2" t="inlineStr">
        <is>
          <t>Cuidado Facial</t>
        </is>
      </c>
      <c r="F818" s="2" t="inlineStr">
        <is>
          <t>Crema Facial</t>
        </is>
      </c>
      <c r="G818" s="3" t="n">
        <v>31.2</v>
      </c>
      <c r="H818" s="4" t="n">
        <v>26</v>
      </c>
      <c r="I818" s="2" t="n">
        <v>16</v>
      </c>
      <c r="J818" s="5" t="n">
        <v>46099</v>
      </c>
      <c r="K818" s="3" t="n">
        <v>1.2</v>
      </c>
      <c r="L818" s="6" t="inlineStr"/>
      <c r="M818" s="7">
        <f>IF(L818&gt;0,(K818-L818)/K818*100,"")</f>
        <v/>
      </c>
    </row>
    <row r="819">
      <c r="A819" t="n">
        <v>818</v>
      </c>
      <c r="B819" t="inlineStr">
        <is>
          <t>75115658169446</t>
        </is>
      </c>
      <c r="C819" t="inlineStr">
        <is>
          <t>DERMOLIMPIADOR PIEL NORMAL A SECA 120ML</t>
        </is>
      </c>
      <c r="D819" t="inlineStr">
        <is>
          <t>Belleza</t>
        </is>
      </c>
      <c r="E819" t="inlineStr">
        <is>
          <t>Cuidado Facial</t>
        </is>
      </c>
      <c r="F819" t="inlineStr">
        <is>
          <t>Sérum para el Rostro</t>
        </is>
      </c>
      <c r="G819" s="8" t="n">
        <v>29.9</v>
      </c>
      <c r="H819" s="9" t="n">
        <v>1</v>
      </c>
      <c r="I819" t="n">
        <v>1</v>
      </c>
      <c r="J819" s="10" t="n">
        <v>46113</v>
      </c>
      <c r="K819" s="8" t="n">
        <v>29.9</v>
      </c>
      <c r="L819" s="6" t="inlineStr"/>
      <c r="M819" s="7">
        <f>IF(L819&gt;0,(K819-L819)/K819*100,"")</f>
        <v/>
      </c>
    </row>
    <row r="820">
      <c r="A820" s="2" t="n">
        <v>819</v>
      </c>
      <c r="B820" s="2" t="inlineStr">
        <is>
          <t>GWC-1</t>
        </is>
      </c>
      <c r="C820" s="2" t="inlineStr">
        <is>
          <t>Carrito de compras</t>
        </is>
      </c>
      <c r="D820" s="2" t="inlineStr">
        <is>
          <t>Hogar y Decoración</t>
        </is>
      </c>
      <c r="E820" s="2" t="inlineStr">
        <is>
          <t>Organización del Hogar</t>
        </is>
      </c>
      <c r="F820" s="2" t="inlineStr">
        <is>
          <t>Carritos de Compras</t>
        </is>
      </c>
      <c r="G820" s="3" t="n">
        <v>29.9</v>
      </c>
      <c r="H820" s="4" t="n">
        <v>1</v>
      </c>
      <c r="I820" s="2" t="n">
        <v>1</v>
      </c>
      <c r="J820" s="5" t="n">
        <v>46105</v>
      </c>
      <c r="K820" s="3" t="n">
        <v>29.9</v>
      </c>
      <c r="L820" s="6" t="inlineStr"/>
      <c r="M820" s="7">
        <f>IF(L820&gt;0,(K820-L820)/K820*100,"")</f>
        <v/>
      </c>
    </row>
    <row r="821">
      <c r="A821" t="n">
        <v>820</v>
      </c>
      <c r="B821" t="inlineStr">
        <is>
          <t>76754493061138</t>
        </is>
      </c>
      <c r="C821" t="inlineStr">
        <is>
          <t>Soju Sabor Manzana Joju Botella 360ML CJ</t>
        </is>
      </c>
      <c r="D821" t="inlineStr">
        <is>
          <t>Alimentos y Bebidas Importadas</t>
        </is>
      </c>
      <c r="E821" t="inlineStr">
        <is>
          <t>Licores Asiáticos</t>
        </is>
      </c>
      <c r="F821" t="inlineStr">
        <is>
          <t>Soju</t>
        </is>
      </c>
      <c r="G821" s="8" t="n">
        <v>29.8</v>
      </c>
      <c r="H821" s="9" t="n">
        <v>2</v>
      </c>
      <c r="I821" t="n">
        <v>2</v>
      </c>
      <c r="J821" s="10" t="n">
        <v>46095</v>
      </c>
      <c r="K821" s="8" t="n">
        <v>14.9</v>
      </c>
      <c r="L821" s="6" t="inlineStr"/>
      <c r="M821" s="7">
        <f>IF(L821&gt;0,(K821-L821)/K821*100,"")</f>
        <v/>
      </c>
    </row>
    <row r="822">
      <c r="A822" s="2" t="n">
        <v>821</v>
      </c>
      <c r="B822" s="2" t="inlineStr">
        <is>
          <t>150104</t>
        </is>
      </c>
      <c r="C822" s="2" t="inlineStr">
        <is>
          <t>FOCO LED 60W</t>
        </is>
      </c>
      <c r="D822" s="2" t="inlineStr">
        <is>
          <t>Mejoramiento del Hogar</t>
        </is>
      </c>
      <c r="E822" s="2" t="inlineStr">
        <is>
          <t>Iluminación</t>
        </is>
      </c>
      <c r="F822" s="2" t="inlineStr">
        <is>
          <t>Luces y Focos</t>
        </is>
      </c>
      <c r="G822" s="3" t="n">
        <v>29.7</v>
      </c>
      <c r="H822" s="4" t="n">
        <v>3</v>
      </c>
      <c r="I822" s="2" t="n">
        <v>3</v>
      </c>
      <c r="J822" s="5" t="n">
        <v>46092</v>
      </c>
      <c r="K822" s="3" t="n">
        <v>9.9</v>
      </c>
      <c r="L822" s="6" t="inlineStr"/>
      <c r="M822" s="7">
        <f>IF(L822&gt;0,(K822-L822)/K822*100,"")</f>
        <v/>
      </c>
    </row>
    <row r="823">
      <c r="A823" t="n">
        <v>822</v>
      </c>
      <c r="B823" t="inlineStr">
        <is>
          <t>SL036</t>
        </is>
      </c>
      <c r="C823" t="inlineStr">
        <is>
          <t>PERFUME DAMAS VARIADO KA1</t>
        </is>
      </c>
      <c r="D823" t="inlineStr">
        <is>
          <t>Belleza</t>
        </is>
      </c>
      <c r="E823" t="inlineStr">
        <is>
          <t>Perfumes y Fragancias</t>
        </is>
      </c>
      <c r="F823" t="inlineStr">
        <is>
          <t>Perfumes para Mujer</t>
        </is>
      </c>
      <c r="G823" s="8" t="n">
        <v>29</v>
      </c>
      <c r="H823" s="9" t="n">
        <v>2</v>
      </c>
      <c r="I823" t="n">
        <v>2</v>
      </c>
      <c r="J823" s="10" t="n">
        <v>46145</v>
      </c>
      <c r="K823" s="8" t="n">
        <v>14.5</v>
      </c>
      <c r="L823" s="6" t="inlineStr"/>
      <c r="M823" s="7">
        <f>IF(L823&gt;0,(K823-L823)/K823*100,"")</f>
        <v/>
      </c>
    </row>
    <row r="824">
      <c r="A824" s="2" t="n">
        <v>823</v>
      </c>
      <c r="B824" s="2" t="inlineStr">
        <is>
          <t>76203884755918</t>
        </is>
      </c>
      <c r="C824" s="2" t="inlineStr">
        <is>
          <t>CT Nutribela Nutrición 300ml</t>
        </is>
      </c>
      <c r="D824" s="2" t="inlineStr">
        <is>
          <t>Cuidado Personal y Salud</t>
        </is>
      </c>
      <c r="E824" s="2" t="inlineStr">
        <is>
          <t>Cuidado del Cabello</t>
        </is>
      </c>
      <c r="F824" s="2" t="inlineStr">
        <is>
          <t>Acondicionadores</t>
        </is>
      </c>
      <c r="G824" s="3" t="n">
        <v>29</v>
      </c>
      <c r="H824" s="4" t="n">
        <v>2</v>
      </c>
      <c r="I824" s="2" t="n">
        <v>2</v>
      </c>
      <c r="J824" s="5" t="n">
        <v>46152</v>
      </c>
      <c r="K824" s="3" t="n">
        <v>14.5</v>
      </c>
      <c r="L824" s="6" t="inlineStr"/>
      <c r="M824" s="7">
        <f>IF(L824&gt;0,(K824-L824)/K824*100,"")</f>
        <v/>
      </c>
    </row>
    <row r="825">
      <c r="A825" t="n">
        <v>824</v>
      </c>
      <c r="B825" t="inlineStr">
        <is>
          <t>MOLPO1789</t>
        </is>
      </c>
      <c r="C825" t="inlineStr">
        <is>
          <t>Chocolate Costa Cañonazo Extra 1x39Gr.</t>
        </is>
      </c>
      <c r="D825" t="inlineStr">
        <is>
          <t>Abarrotes</t>
        </is>
      </c>
      <c r="E825" t="inlineStr">
        <is>
          <t>Dulces y Chocolates</t>
        </is>
      </c>
      <c r="F825" t="inlineStr">
        <is>
          <t>Chocolates</t>
        </is>
      </c>
      <c r="G825" s="8" t="n">
        <v>28.8</v>
      </c>
      <c r="H825" s="9" t="n">
        <v>20</v>
      </c>
      <c r="I825" t="n">
        <v>12</v>
      </c>
      <c r="J825" s="10" t="n">
        <v>46164</v>
      </c>
      <c r="K825" s="8" t="n">
        <v>1.53</v>
      </c>
      <c r="L825" s="6" t="inlineStr"/>
      <c r="M825" s="7">
        <f>IF(L825&gt;0,(K825-L825)/K825*100,"")</f>
        <v/>
      </c>
    </row>
    <row r="826">
      <c r="A826" s="2" t="n">
        <v>825</v>
      </c>
      <c r="B826" s="2" t="inlineStr">
        <is>
          <t>74931689137275</t>
        </is>
      </c>
      <c r="C826" s="2" t="inlineStr">
        <is>
          <t>ALMOHADA CAPIBARA</t>
        </is>
      </c>
      <c r="D826" s="2" t="inlineStr">
        <is>
          <t>Dormitorio</t>
        </is>
      </c>
      <c r="E826" s="2" t="inlineStr">
        <is>
          <t>Ropa de Cama</t>
        </is>
      </c>
      <c r="F826" s="2" t="inlineStr">
        <is>
          <t>Almohadas y Cojines</t>
        </is>
      </c>
      <c r="G826" s="3" t="n">
        <v>28</v>
      </c>
      <c r="H826" s="4" t="n">
        <v>4</v>
      </c>
      <c r="I826" s="2" t="n">
        <v>1</v>
      </c>
      <c r="J826" s="5" t="n">
        <v>46159</v>
      </c>
      <c r="K826" s="3" t="n">
        <v>7</v>
      </c>
      <c r="L826" s="6" t="inlineStr"/>
      <c r="M826" s="7">
        <f>IF(L826&gt;0,(K826-L826)/K826*100,"")</f>
        <v/>
      </c>
    </row>
    <row r="827">
      <c r="A827" t="n">
        <v>826</v>
      </c>
      <c r="B827" t="inlineStr">
        <is>
          <t>DFTC-83</t>
        </is>
      </c>
      <c r="C827" t="inlineStr">
        <is>
          <t>TAZON</t>
        </is>
      </c>
      <c r="D827" t="inlineStr">
        <is>
          <t>Hogar y Decoración</t>
        </is>
      </c>
      <c r="E827" t="inlineStr">
        <is>
          <t>Menaje de Comedor</t>
        </is>
      </c>
      <c r="F827" t="inlineStr">
        <is>
          <t>Platos y Fuentes</t>
        </is>
      </c>
      <c r="G827" s="8" t="n">
        <v>28</v>
      </c>
      <c r="H827" s="9" t="n">
        <v>8</v>
      </c>
      <c r="I827" t="n">
        <v>2</v>
      </c>
      <c r="J827" s="10" t="n">
        <v>46091</v>
      </c>
      <c r="K827" s="8" t="n">
        <v>3.5</v>
      </c>
      <c r="L827" s="6" t="inlineStr"/>
      <c r="M827" s="7">
        <f>IF(L827&gt;0,(K827-L827)/K827*100,"")</f>
        <v/>
      </c>
    </row>
    <row r="828">
      <c r="A828" s="2" t="n">
        <v>827</v>
      </c>
      <c r="B828" s="2" t="inlineStr">
        <is>
          <t>74932705452705</t>
        </is>
      </c>
      <c r="C828" s="2" t="inlineStr">
        <is>
          <t>CUADERNO JUSTUS</t>
        </is>
      </c>
      <c r="D828" s="2" t="inlineStr">
        <is>
          <t>Librería y Oficina</t>
        </is>
      </c>
      <c r="E828" s="2" t="inlineStr">
        <is>
          <t>Útiles Escolares</t>
        </is>
      </c>
      <c r="F828" s="2" t="inlineStr">
        <is>
          <t>Cuadernos y Blocks</t>
        </is>
      </c>
      <c r="G828" s="3" t="n">
        <v>27.3</v>
      </c>
      <c r="H828" s="4" t="n">
        <v>7</v>
      </c>
      <c r="I828" s="2" t="n">
        <v>3</v>
      </c>
      <c r="J828" s="5" t="n">
        <v>46103</v>
      </c>
      <c r="K828" s="3" t="n">
        <v>3.9</v>
      </c>
      <c r="L828" s="6" t="inlineStr"/>
      <c r="M828" s="7">
        <f>IF(L828&gt;0,(K828-L828)/K828*100,"")</f>
        <v/>
      </c>
    </row>
    <row r="829">
      <c r="A829" t="n">
        <v>828</v>
      </c>
      <c r="B829" t="inlineStr">
        <is>
          <t>GL-W113</t>
        </is>
      </c>
      <c r="C829" t="inlineStr">
        <is>
          <t>REGLA ABECEDARIO NIÑOS</t>
        </is>
      </c>
      <c r="D829" t="inlineStr">
        <is>
          <t>Librería y Oficina</t>
        </is>
      </c>
      <c r="E829" t="inlineStr">
        <is>
          <t>Útiles Escolares</t>
        </is>
      </c>
      <c r="F829" t="inlineStr">
        <is>
          <t>Tijeras y Reglas</t>
        </is>
      </c>
      <c r="G829" s="8" t="n">
        <v>27.16</v>
      </c>
      <c r="H829" s="9" t="n">
        <v>21</v>
      </c>
      <c r="I829" t="n">
        <v>7</v>
      </c>
      <c r="J829" s="10" t="n">
        <v>46092</v>
      </c>
      <c r="K829" s="8" t="n">
        <v>1.36</v>
      </c>
      <c r="L829" s="6" t="inlineStr"/>
      <c r="M829" s="7">
        <f>IF(L829&gt;0,(K829-L829)/K829*100,"")</f>
        <v/>
      </c>
    </row>
    <row r="830">
      <c r="A830" s="2" t="n">
        <v>829</v>
      </c>
      <c r="B830" s="2" t="inlineStr">
        <is>
          <t>F-347#11</t>
        </is>
      </c>
      <c r="C830" s="2" t="inlineStr">
        <is>
          <t>PELUCHE</t>
        </is>
      </c>
      <c r="D830" s="2" t="inlineStr">
        <is>
          <t>Tendencias Kawaii</t>
        </is>
      </c>
      <c r="E830" s="2" t="inlineStr">
        <is>
          <t>Peluches</t>
        </is>
      </c>
      <c r="F830" s="2" t="inlineStr">
        <is>
          <t>Peluches Kawaii</t>
        </is>
      </c>
      <c r="G830" s="3" t="n">
        <v>27</v>
      </c>
      <c r="H830" s="4" t="n">
        <v>2</v>
      </c>
      <c r="I830" s="2" t="n">
        <v>2</v>
      </c>
      <c r="J830" s="5" t="n">
        <v>46110</v>
      </c>
      <c r="K830" s="3" t="n">
        <v>13.5</v>
      </c>
      <c r="L830" s="6" t="inlineStr"/>
      <c r="M830" s="7">
        <f>IF(L830&gt;0,(K830-L830)/K830*100,"")</f>
        <v/>
      </c>
    </row>
    <row r="831">
      <c r="A831" t="n">
        <v>830</v>
      </c>
      <c r="B831" t="inlineStr">
        <is>
          <t>PU-YM6886</t>
        </is>
      </c>
      <c r="C831" t="inlineStr">
        <is>
          <t>MESA PINTURA</t>
        </is>
      </c>
      <c r="D831" t="inlineStr">
        <is>
          <t>Juguetes y Juegos</t>
        </is>
      </c>
      <c r="E831" t="inlineStr">
        <is>
          <t>Juguetes</t>
        </is>
      </c>
      <c r="F831" t="inlineStr">
        <is>
          <t>Juguetes Variados</t>
        </is>
      </c>
      <c r="G831" s="8" t="n">
        <v>26.5</v>
      </c>
      <c r="H831" s="9" t="n">
        <v>1</v>
      </c>
      <c r="I831" t="n">
        <v>1</v>
      </c>
      <c r="J831" s="10" t="n">
        <v>46134</v>
      </c>
      <c r="K831" s="8" t="n">
        <v>26.5</v>
      </c>
      <c r="L831" s="6" t="inlineStr"/>
      <c r="M831" s="7">
        <f>IF(L831&gt;0,(K831-L831)/K831*100,"")</f>
        <v/>
      </c>
    </row>
    <row r="832">
      <c r="A832" s="2" t="n">
        <v>831</v>
      </c>
      <c r="B832" s="2" t="inlineStr">
        <is>
          <t>PL-13</t>
        </is>
      </c>
      <c r="C832" s="2" t="inlineStr">
        <is>
          <t>JARRA 1L UTILISIMA TRANSPARENTE</t>
        </is>
      </c>
      <c r="D832" s="2" t="inlineStr">
        <is>
          <t>Hogar y Decoración</t>
        </is>
      </c>
      <c r="E832" s="2" t="inlineStr">
        <is>
          <t>Menaje de Comedor</t>
        </is>
      </c>
      <c r="F832" s="2" t="inlineStr">
        <is>
          <t>Jarras</t>
        </is>
      </c>
      <c r="G832" s="3" t="n">
        <v>24</v>
      </c>
      <c r="H832" s="4" t="n">
        <v>16</v>
      </c>
      <c r="I832" s="2" t="n">
        <v>14</v>
      </c>
      <c r="J832" s="5" t="n">
        <v>46129</v>
      </c>
      <c r="K832" s="3" t="n">
        <v>1.5</v>
      </c>
      <c r="L832" s="6" t="inlineStr"/>
      <c r="M832" s="7">
        <f>IF(L832&gt;0,(K832-L832)/K832*100,"")</f>
        <v/>
      </c>
    </row>
    <row r="833">
      <c r="A833" t="n">
        <v>832</v>
      </c>
      <c r="B833" t="inlineStr">
        <is>
          <t>PL-09</t>
        </is>
      </c>
      <c r="C833" t="inlineStr">
        <is>
          <t>JARRA BONITA 1L</t>
        </is>
      </c>
      <c r="D833" t="inlineStr">
        <is>
          <t>Hogar y Decoración</t>
        </is>
      </c>
      <c r="E833" t="inlineStr">
        <is>
          <t>Menaje de Comedor</t>
        </is>
      </c>
      <c r="F833" t="inlineStr">
        <is>
          <t>Jarras</t>
        </is>
      </c>
      <c r="G833" s="8" t="n">
        <v>24</v>
      </c>
      <c r="H833" s="9" t="n">
        <v>8</v>
      </c>
      <c r="I833" t="n">
        <v>7</v>
      </c>
      <c r="J833" s="10" t="n">
        <v>46095</v>
      </c>
      <c r="K833" s="8" t="n">
        <v>3</v>
      </c>
      <c r="L833" s="6" t="inlineStr"/>
      <c r="M833" s="7">
        <f>IF(L833&gt;0,(K833-L833)/K833*100,"")</f>
        <v/>
      </c>
    </row>
    <row r="834">
      <c r="A834" s="2" t="n">
        <v>833</v>
      </c>
      <c r="B834" s="2" t="inlineStr">
        <is>
          <t>RR0996</t>
        </is>
      </c>
      <c r="C834" s="2" t="inlineStr">
        <is>
          <t>Mesa de cafe</t>
        </is>
      </c>
      <c r="D834" s="2" t="inlineStr">
        <is>
          <t>Hogar y Decoración</t>
        </is>
      </c>
      <c r="E834" s="2" t="inlineStr">
        <is>
          <t>Muebles y Accesorios</t>
        </is>
      </c>
      <c r="F834" s="2" t="inlineStr">
        <is>
          <t>Mesas</t>
        </is>
      </c>
      <c r="G834" s="3" t="n">
        <v>23.9</v>
      </c>
      <c r="H834" s="4" t="n">
        <v>1</v>
      </c>
      <c r="I834" s="2" t="n">
        <v>1</v>
      </c>
      <c r="J834" s="5" t="n">
        <v>46089</v>
      </c>
      <c r="K834" s="3" t="n">
        <v>23.9</v>
      </c>
      <c r="L834" s="6" t="inlineStr"/>
      <c r="M834" s="7">
        <f>IF(L834&gt;0,(K834-L834)/K834*100,"")</f>
        <v/>
      </c>
    </row>
    <row r="835">
      <c r="A835" t="n">
        <v>834</v>
      </c>
      <c r="B835" t="inlineStr">
        <is>
          <t>PL-02</t>
        </is>
      </c>
      <c r="C835" t="inlineStr">
        <is>
          <t>CANASTILLA BEBE PASTEL</t>
        </is>
      </c>
      <c r="D835" t="inlineStr">
        <is>
          <t>Hogar y Decoración</t>
        </is>
      </c>
      <c r="E835" t="inlineStr">
        <is>
          <t>Organización del Hogar</t>
        </is>
      </c>
      <c r="F835" t="inlineStr">
        <is>
          <t>Cajas Organizadoras</t>
        </is>
      </c>
      <c r="G835" s="8" t="n">
        <v>23.8</v>
      </c>
      <c r="H835" s="9" t="n">
        <v>10</v>
      </c>
      <c r="I835" t="n">
        <v>5</v>
      </c>
      <c r="J835" s="10" t="n">
        <v>46091</v>
      </c>
      <c r="K835" s="8" t="n">
        <v>2.46</v>
      </c>
      <c r="L835" s="6" t="inlineStr"/>
      <c r="M835" s="7">
        <f>IF(L835&gt;0,(K835-L835)/K835*100,"")</f>
        <v/>
      </c>
    </row>
    <row r="836">
      <c r="A836" s="2" t="n">
        <v>835</v>
      </c>
      <c r="B836" s="2" t="inlineStr">
        <is>
          <t>AGL-800</t>
        </is>
      </c>
      <c r="C836" s="2" t="inlineStr">
        <is>
          <t>ELECTRO LIP GLOSS</t>
        </is>
      </c>
      <c r="D836" s="2" t="inlineStr">
        <is>
          <t>Belleza</t>
        </is>
      </c>
      <c r="E836" s="2" t="inlineStr">
        <is>
          <t>Maquillaje y Cosméticos</t>
        </is>
      </c>
      <c r="F836" s="2" t="inlineStr">
        <is>
          <t>Labial Gloss</t>
        </is>
      </c>
      <c r="G836" s="3" t="n">
        <v>23.7</v>
      </c>
      <c r="H836" s="4" t="n">
        <v>3</v>
      </c>
      <c r="I836" s="2" t="n">
        <v>3</v>
      </c>
      <c r="J836" s="5" t="n">
        <v>46168</v>
      </c>
      <c r="K836" s="3" t="n">
        <v>7.9</v>
      </c>
      <c r="L836" s="6" t="inlineStr"/>
      <c r="M836" s="7">
        <f>IF(L836&gt;0,(K836-L836)/K836*100,"")</f>
        <v/>
      </c>
    </row>
    <row r="837">
      <c r="A837" t="n">
        <v>836</v>
      </c>
      <c r="B837" t="inlineStr">
        <is>
          <t>21501</t>
        </is>
      </c>
      <c r="C837" t="inlineStr">
        <is>
          <t>AQUA PEPINO JABÓN EN BARRA CORPORAL ANTIBACTERIAL 75G</t>
        </is>
      </c>
      <c r="D837" t="inlineStr">
        <is>
          <t>Cuidado Personal y Salud</t>
        </is>
      </c>
      <c r="E837" t="inlineStr">
        <is>
          <t>Higiene Personal</t>
        </is>
      </c>
      <c r="F837" t="inlineStr">
        <is>
          <t>Jabones Corporales</t>
        </is>
      </c>
      <c r="G837" s="8" t="n">
        <v>22.8</v>
      </c>
      <c r="H837" s="9" t="n">
        <v>19</v>
      </c>
      <c r="I837" t="n">
        <v>16</v>
      </c>
      <c r="J837" s="10" t="n">
        <v>46114</v>
      </c>
      <c r="K837" s="8" t="n">
        <v>1.2</v>
      </c>
      <c r="L837" s="6" t="inlineStr"/>
      <c r="M837" s="7">
        <f>IF(L837&gt;0,(K837-L837)/K837*100,"")</f>
        <v/>
      </c>
    </row>
    <row r="838">
      <c r="A838" s="2" t="n">
        <v>837</v>
      </c>
      <c r="B838" s="2" t="inlineStr">
        <is>
          <t>AGL-540</t>
        </is>
      </c>
      <c r="C838" s="2" t="inlineStr">
        <is>
          <t>LABIAL A MI MANERA EFECTO VELVET</t>
        </is>
      </c>
      <c r="D838" s="2" t="inlineStr">
        <is>
          <t>Belleza</t>
        </is>
      </c>
      <c r="E838" s="2" t="inlineStr">
        <is>
          <t>Maquillaje y Cosméticos</t>
        </is>
      </c>
      <c r="F838" s="2" t="inlineStr">
        <is>
          <t>Labial</t>
        </is>
      </c>
      <c r="G838" s="3" t="n">
        <v>22.5</v>
      </c>
      <c r="H838" s="4" t="n">
        <v>3</v>
      </c>
      <c r="I838" s="2" t="n">
        <v>3</v>
      </c>
      <c r="J838" s="5" t="n">
        <v>46129</v>
      </c>
      <c r="K838" s="3" t="n">
        <v>7.5</v>
      </c>
      <c r="L838" s="6" t="inlineStr"/>
      <c r="M838" s="7">
        <f>IF(L838&gt;0,(K838-L838)/K838*100,"")</f>
        <v/>
      </c>
    </row>
    <row r="839">
      <c r="A839" t="n">
        <v>838</v>
      </c>
      <c r="B839" t="inlineStr">
        <is>
          <t>F5003</t>
        </is>
      </c>
      <c r="C839" t="inlineStr">
        <is>
          <t>SET TOALLAS LIMPIEZA</t>
        </is>
      </c>
      <c r="D839" t="inlineStr">
        <is>
          <t>Hogar y Decoración</t>
        </is>
      </c>
      <c r="E839" t="inlineStr">
        <is>
          <t>Accesorios para Baño</t>
        </is>
      </c>
      <c r="F839" t="inlineStr">
        <is>
          <t>Toallas</t>
        </is>
      </c>
      <c r="G839" s="8" t="n">
        <v>22</v>
      </c>
      <c r="H839" s="9" t="n">
        <v>10</v>
      </c>
      <c r="I839" t="n">
        <v>9</v>
      </c>
      <c r="J839" s="10" t="n">
        <v>46092</v>
      </c>
      <c r="K839" s="8" t="n">
        <v>2.2</v>
      </c>
      <c r="L839" s="6" t="inlineStr"/>
      <c r="M839" s="7">
        <f>IF(L839&gt;0,(K839-L839)/K839*100,"")</f>
        <v/>
      </c>
    </row>
    <row r="840">
      <c r="A840" s="2" t="n">
        <v>839</v>
      </c>
      <c r="B840" s="2" t="inlineStr">
        <is>
          <t>7750885024860</t>
        </is>
      </c>
      <c r="C840" s="2" t="inlineStr">
        <is>
          <t>ALMENDRA VIZZIO 19.2</t>
        </is>
      </c>
      <c r="D840" s="2" t="inlineStr">
        <is>
          <t>Abarrotes</t>
        </is>
      </c>
      <c r="E840" s="2" t="inlineStr">
        <is>
          <t>Dulces y Chocolates</t>
        </is>
      </c>
      <c r="F840" s="2" t="inlineStr">
        <is>
          <t>Chocolates</t>
        </is>
      </c>
      <c r="G840" s="3" t="n">
        <v>22</v>
      </c>
      <c r="H840" s="4" t="n">
        <v>22</v>
      </c>
      <c r="I840" s="2" t="n">
        <v>16</v>
      </c>
      <c r="J840" s="5" t="n">
        <v>46150</v>
      </c>
      <c r="K840" s="3" t="n">
        <v>1</v>
      </c>
      <c r="L840" s="6" t="inlineStr"/>
      <c r="M840" s="7">
        <f>IF(L840&gt;0,(K840-L840)/K840*100,"")</f>
        <v/>
      </c>
    </row>
    <row r="841">
      <c r="A841" t="n">
        <v>840</v>
      </c>
      <c r="B841" t="inlineStr">
        <is>
          <t>290008</t>
        </is>
      </c>
      <c r="C841" t="inlineStr">
        <is>
          <t>PORTA COLGADOR</t>
        </is>
      </c>
      <c r="D841" t="inlineStr">
        <is>
          <t>Hogar y Decoración</t>
        </is>
      </c>
      <c r="E841" t="inlineStr">
        <is>
          <t>Organización del Hogar</t>
        </is>
      </c>
      <c r="F841" t="inlineStr">
        <is>
          <t>Percheros y Colgadores</t>
        </is>
      </c>
      <c r="G841" s="8" t="n">
        <v>21.5</v>
      </c>
      <c r="H841" s="9" t="n">
        <v>1</v>
      </c>
      <c r="I841" t="n">
        <v>1</v>
      </c>
      <c r="J841" s="10" t="n">
        <v>46098</v>
      </c>
      <c r="K841" s="8" t="n">
        <v>21.5</v>
      </c>
      <c r="L841" s="6" t="inlineStr"/>
      <c r="M841" s="7">
        <f>IF(L841&gt;0,(K841-L841)/K841*100,"")</f>
        <v/>
      </c>
    </row>
    <row r="842">
      <c r="A842" s="2" t="n">
        <v>841</v>
      </c>
      <c r="B842" s="2" t="inlineStr">
        <is>
          <t>ESMALTE-J01</t>
        </is>
      </c>
      <c r="C842" s="2" t="inlineStr">
        <is>
          <t>ESMALTE JARUSA</t>
        </is>
      </c>
      <c r="D842" s="2" t="inlineStr">
        <is>
          <t>Belleza</t>
        </is>
      </c>
      <c r="E842" s="2" t="inlineStr">
        <is>
          <t>Maquillaje y Cosméticos</t>
        </is>
      </c>
      <c r="F842" s="2" t="inlineStr">
        <is>
          <t>Uñas y Esmaltes</t>
        </is>
      </c>
      <c r="G842" s="3" t="n">
        <v>20.3</v>
      </c>
      <c r="H842" s="4" t="n">
        <v>7</v>
      </c>
      <c r="I842" s="2" t="n">
        <v>7</v>
      </c>
      <c r="J842" s="5" t="n">
        <v>46146</v>
      </c>
      <c r="K842" s="3" t="n">
        <v>2.9</v>
      </c>
      <c r="L842" s="6" t="inlineStr"/>
      <c r="M842" s="7">
        <f>IF(L842&gt;0,(K842-L842)/K842*100,"")</f>
        <v/>
      </c>
    </row>
    <row r="843">
      <c r="A843" t="n">
        <v>842</v>
      </c>
      <c r="B843" t="inlineStr">
        <is>
          <t>ESC-17</t>
        </is>
      </c>
      <c r="C843" t="inlineStr">
        <is>
          <t>FORRO FACIL MERCYFAN OFICIO</t>
        </is>
      </c>
      <c r="D843" t="inlineStr">
        <is>
          <t>Librería y Oficina</t>
        </is>
      </c>
      <c r="E843" t="inlineStr">
        <is>
          <t>Útiles Escolares</t>
        </is>
      </c>
      <c r="F843" t="inlineStr">
        <is>
          <t>Forros para Cuadernos</t>
        </is>
      </c>
      <c r="G843" s="8" t="n">
        <v>19.8</v>
      </c>
      <c r="H843" s="9" t="n">
        <v>2</v>
      </c>
      <c r="I843" t="n">
        <v>2</v>
      </c>
      <c r="J843" s="10" t="n">
        <v>46102</v>
      </c>
      <c r="K843" s="8" t="n">
        <v>9.9</v>
      </c>
      <c r="L843" s="6" t="inlineStr"/>
      <c r="M843" s="7">
        <f>IF(L843&gt;0,(K843-L843)/K843*100,"")</f>
        <v/>
      </c>
    </row>
    <row r="844">
      <c r="A844" s="2" t="n">
        <v>843</v>
      </c>
      <c r="B844" s="2" t="inlineStr">
        <is>
          <t>74931687804124</t>
        </is>
      </c>
      <c r="C844" s="2" t="inlineStr">
        <is>
          <t>MÁSCARA EVER BEAUTY 24H</t>
        </is>
      </c>
      <c r="D844" s="2" t="inlineStr">
        <is>
          <t>Belleza</t>
        </is>
      </c>
      <c r="E844" s="2" t="inlineStr">
        <is>
          <t>Maquillaje y Cosméticos</t>
        </is>
      </c>
      <c r="F844" s="2" t="inlineStr">
        <is>
          <t>Maquillaje Variados</t>
        </is>
      </c>
      <c r="G844" s="3" t="n">
        <v>19.8</v>
      </c>
      <c r="H844" s="4" t="n">
        <v>2</v>
      </c>
      <c r="I844" s="2" t="n">
        <v>2</v>
      </c>
      <c r="J844" s="5" t="n">
        <v>46109</v>
      </c>
      <c r="K844" s="3" t="n">
        <v>9.9</v>
      </c>
      <c r="L844" s="6" t="inlineStr"/>
      <c r="M844" s="7">
        <f>IF(L844&gt;0,(K844-L844)/K844*100,"")</f>
        <v/>
      </c>
    </row>
    <row r="845">
      <c r="A845" t="n">
        <v>844</v>
      </c>
      <c r="B845" t="inlineStr">
        <is>
          <t>76754493039375</t>
        </is>
      </c>
      <c r="C845" t="inlineStr">
        <is>
          <t>TE VERDE COPON 2GR20SOB CJ100</t>
        </is>
      </c>
      <c r="D845" t="inlineStr">
        <is>
          <t>Alimentos y Bebidas Importadas</t>
        </is>
      </c>
      <c r="E845" t="inlineStr">
        <is>
          <t>Té e Infusiones</t>
        </is>
      </c>
      <c r="F845" t="inlineStr">
        <is>
          <t>Té Filtrante (Tradicional)</t>
        </is>
      </c>
      <c r="G845" s="8" t="n">
        <v>19.6</v>
      </c>
      <c r="H845" s="9" t="n">
        <v>4</v>
      </c>
      <c r="I845" t="n">
        <v>4</v>
      </c>
      <c r="J845" s="10" t="n">
        <v>46147</v>
      </c>
      <c r="K845" s="8" t="n">
        <v>4.9</v>
      </c>
      <c r="L845" s="6" t="inlineStr"/>
      <c r="M845" s="7">
        <f>IF(L845&gt;0,(K845-L845)/K845*100,"")</f>
        <v/>
      </c>
    </row>
    <row r="846">
      <c r="A846" s="2" t="n">
        <v>845</v>
      </c>
      <c r="B846" s="2" t="inlineStr">
        <is>
          <t>8189E-11/586</t>
        </is>
      </c>
      <c r="C846" s="2" t="inlineStr">
        <is>
          <t>LABIAL EN BARRA MATTE WATERPROOF 24 HORAS EVER BEAUTY</t>
        </is>
      </c>
      <c r="D846" s="2" t="inlineStr">
        <is>
          <t>Belleza</t>
        </is>
      </c>
      <c r="E846" s="2" t="inlineStr">
        <is>
          <t>Maquillaje y Cosméticos</t>
        </is>
      </c>
      <c r="F846" s="2" t="inlineStr">
        <is>
          <t>Labial</t>
        </is>
      </c>
      <c r="G846" s="3" t="n">
        <v>19.5</v>
      </c>
      <c r="H846" s="4" t="n">
        <v>3</v>
      </c>
      <c r="I846" s="2" t="n">
        <v>1</v>
      </c>
      <c r="J846" s="5" t="n">
        <v>46092</v>
      </c>
      <c r="K846" s="3" t="n">
        <v>6.5</v>
      </c>
      <c r="L846" s="6" t="inlineStr"/>
      <c r="M846" s="7">
        <f>IF(L846&gt;0,(K846-L846)/K846*100,"")</f>
        <v/>
      </c>
    </row>
    <row r="847">
      <c r="A847" t="n">
        <v>846</v>
      </c>
      <c r="B847" t="inlineStr">
        <is>
          <t>BQY13941</t>
        </is>
      </c>
      <c r="C847" t="inlineStr">
        <is>
          <t>SHAMPOO OLIVE BOIAQUA</t>
        </is>
      </c>
      <c r="D847" t="inlineStr">
        <is>
          <t>Cuidado Personal y Salud</t>
        </is>
      </c>
      <c r="E847" t="inlineStr">
        <is>
          <t>Cuidado del Cabello</t>
        </is>
      </c>
      <c r="F847" t="inlineStr">
        <is>
          <t>Shampoo</t>
        </is>
      </c>
      <c r="G847" s="8" t="n">
        <v>19.35</v>
      </c>
      <c r="H847" s="9" t="n">
        <v>1</v>
      </c>
      <c r="I847" t="n">
        <v>1</v>
      </c>
      <c r="J847" s="10" t="n">
        <v>46107</v>
      </c>
      <c r="K847" s="8" t="n">
        <v>19.35</v>
      </c>
      <c r="L847" s="6" t="inlineStr"/>
      <c r="M847" s="7">
        <f>IF(L847&gt;0,(K847-L847)/K847*100,"")</f>
        <v/>
      </c>
    </row>
    <row r="848">
      <c r="A848" s="2" t="n">
        <v>847</v>
      </c>
      <c r="B848" s="2" t="inlineStr">
        <is>
          <t>LA-120355</t>
        </is>
      </c>
      <c r="C848" s="2" t="inlineStr">
        <is>
          <t>SOPA PLATO PEQUEÑO</t>
        </is>
      </c>
      <c r="D848" s="2" t="inlineStr">
        <is>
          <t>Hogar y Decoración</t>
        </is>
      </c>
      <c r="E848" s="2" t="inlineStr">
        <is>
          <t>Menaje de Comedor</t>
        </is>
      </c>
      <c r="F848" s="2" t="inlineStr">
        <is>
          <t>Platos y Fuentes</t>
        </is>
      </c>
      <c r="G848" s="3" t="n">
        <v>19.32</v>
      </c>
      <c r="H848" s="4" t="n">
        <v>7</v>
      </c>
      <c r="I848" s="2" t="n">
        <v>3</v>
      </c>
      <c r="J848" s="5" t="n">
        <v>46112</v>
      </c>
      <c r="K848" s="3" t="n">
        <v>2.71</v>
      </c>
      <c r="L848" s="6" t="inlineStr"/>
      <c r="M848" s="7">
        <f>IF(L848&gt;0,(K848-L848)/K848*100,"")</f>
        <v/>
      </c>
    </row>
    <row r="849">
      <c r="A849" t="n">
        <v>848</v>
      </c>
      <c r="B849" t="inlineStr">
        <is>
          <t>1502</t>
        </is>
      </c>
      <c r="C849" t="inlineStr">
        <is>
          <t>SET VASO X6</t>
        </is>
      </c>
      <c r="D849" t="inlineStr">
        <is>
          <t>Hogar y Decoración</t>
        </is>
      </c>
      <c r="E849" t="inlineStr">
        <is>
          <t>Menaje de Comedor</t>
        </is>
      </c>
      <c r="F849" t="inlineStr">
        <is>
          <t>Vasos</t>
        </is>
      </c>
      <c r="G849" s="8" t="n">
        <v>19</v>
      </c>
      <c r="H849" s="9" t="n">
        <v>2</v>
      </c>
      <c r="I849" t="n">
        <v>2</v>
      </c>
      <c r="J849" s="10" t="n">
        <v>46096</v>
      </c>
      <c r="K849" s="8" t="n">
        <v>9.5</v>
      </c>
      <c r="L849" s="6" t="inlineStr"/>
      <c r="M849" s="7">
        <f>IF(L849&gt;0,(K849-L849)/K849*100,"")</f>
        <v/>
      </c>
    </row>
    <row r="850">
      <c r="A850" s="2" t="n">
        <v>849</v>
      </c>
      <c r="B850" s="2" t="inlineStr">
        <is>
          <t>SJ178-1</t>
        </is>
      </c>
      <c r="C850" s="2" t="inlineStr">
        <is>
          <t>JGT MOCHILA TE</t>
        </is>
      </c>
      <c r="D850" s="2" t="inlineStr">
        <is>
          <t>Juguetes y Juegos</t>
        </is>
      </c>
      <c r="E850" s="2" t="inlineStr">
        <is>
          <t>Juguetes</t>
        </is>
      </c>
      <c r="F850" s="2" t="inlineStr">
        <is>
          <t>Juguetes Variados</t>
        </is>
      </c>
      <c r="G850" s="3" t="n">
        <v>19</v>
      </c>
      <c r="H850" s="4" t="n">
        <v>2</v>
      </c>
      <c r="I850" s="2" t="n">
        <v>1</v>
      </c>
      <c r="J850" s="5" t="n">
        <v>46156</v>
      </c>
      <c r="K850" s="3" t="n">
        <v>9.5</v>
      </c>
      <c r="L850" s="6" t="inlineStr"/>
      <c r="M850" s="7">
        <f>IF(L850&gt;0,(K850-L850)/K850*100,"")</f>
        <v/>
      </c>
    </row>
    <row r="851">
      <c r="A851" t="n">
        <v>850</v>
      </c>
      <c r="B851" t="inlineStr">
        <is>
          <t>9260</t>
        </is>
      </c>
      <c r="C851" t="inlineStr">
        <is>
          <t>(G) SET CUBIERTOS DE PLASTICO (20PZ)</t>
        </is>
      </c>
      <c r="D851" t="inlineStr">
        <is>
          <t>Fiestas y Cumpleaños</t>
        </is>
      </c>
      <c r="E851" t="inlineStr">
        <is>
          <t>Cumpleaños</t>
        </is>
      </c>
      <c r="F851" t="inlineStr">
        <is>
          <t>Artículos Descartables de Fiesta</t>
        </is>
      </c>
      <c r="G851" s="8" t="n">
        <v>19</v>
      </c>
      <c r="H851" s="9" t="n">
        <v>10</v>
      </c>
      <c r="I851" t="n">
        <v>9</v>
      </c>
      <c r="J851" s="10" t="n">
        <v>46111</v>
      </c>
      <c r="K851" s="8" t="n">
        <v>1.9</v>
      </c>
      <c r="L851" s="6" t="inlineStr"/>
      <c r="M851" s="7">
        <f>IF(L851&gt;0,(K851-L851)/K851*100,"")</f>
        <v/>
      </c>
    </row>
    <row r="852">
      <c r="A852" s="2" t="n">
        <v>851</v>
      </c>
      <c r="B852" s="2" t="inlineStr">
        <is>
          <t>GFXY-2776</t>
        </is>
      </c>
      <c r="C852" s="2" t="inlineStr">
        <is>
          <t>MINI CAJA ORGANIZADORA</t>
        </is>
      </c>
      <c r="D852" s="2" t="inlineStr">
        <is>
          <t>Hogar y Decoración</t>
        </is>
      </c>
      <c r="E852" s="2" t="inlineStr">
        <is>
          <t>Organización del Hogar</t>
        </is>
      </c>
      <c r="F852" s="2" t="inlineStr">
        <is>
          <t>Cajas Organizadoras</t>
        </is>
      </c>
      <c r="G852" s="3" t="n">
        <v>18.5</v>
      </c>
      <c r="H852" s="4" t="n">
        <v>5</v>
      </c>
      <c r="I852" s="2" t="n">
        <v>5</v>
      </c>
      <c r="J852" s="5" t="n">
        <v>46098</v>
      </c>
      <c r="K852" s="3" t="n">
        <v>3.7</v>
      </c>
      <c r="L852" s="6" t="inlineStr"/>
      <c r="M852" s="7">
        <f>IF(L852&gt;0,(K852-L852)/K852*100,"")</f>
        <v/>
      </c>
    </row>
    <row r="853">
      <c r="A853" t="n">
        <v>852</v>
      </c>
      <c r="B853" t="inlineStr">
        <is>
          <t>74931687886318</t>
        </is>
      </c>
      <c r="C853" t="inlineStr">
        <is>
          <t>SHAMPOO COLORANTE + PEINE GOLDEN BROWN DEXE</t>
        </is>
      </c>
      <c r="D853" t="inlineStr">
        <is>
          <t>Cuidado Personal y Salud</t>
        </is>
      </c>
      <c r="E853" t="inlineStr">
        <is>
          <t>Cuidado del Cabello</t>
        </is>
      </c>
      <c r="F853" t="inlineStr">
        <is>
          <t>Tintes</t>
        </is>
      </c>
      <c r="G853" s="8" t="n">
        <v>17.9</v>
      </c>
      <c r="H853" s="9" t="n">
        <v>1</v>
      </c>
      <c r="I853" t="n">
        <v>1</v>
      </c>
      <c r="J853" s="10" t="n">
        <v>46104</v>
      </c>
      <c r="K853" s="8" t="n">
        <v>17.9</v>
      </c>
      <c r="L853" s="6" t="inlineStr"/>
      <c r="M853" s="7">
        <f>IF(L853&gt;0,(K853-L853)/K853*100,"")</f>
        <v/>
      </c>
    </row>
    <row r="854">
      <c r="A854" s="2" t="n">
        <v>853</v>
      </c>
      <c r="B854" s="2" t="inlineStr">
        <is>
          <t>F-247#19</t>
        </is>
      </c>
      <c r="C854" s="2" t="inlineStr">
        <is>
          <t>ZANDALIA TIBURON NIÑOS</t>
        </is>
      </c>
      <c r="D854" s="2" t="inlineStr">
        <is>
          <t>Zapatos</t>
        </is>
      </c>
      <c r="E854" s="2" t="inlineStr">
        <is>
          <t>Sandalias</t>
        </is>
      </c>
      <c r="F854" s="2" t="inlineStr">
        <is>
          <t>Sandalias Adulto</t>
        </is>
      </c>
      <c r="G854" s="3" t="n">
        <v>17.9</v>
      </c>
      <c r="H854" s="4" t="n">
        <v>1</v>
      </c>
      <c r="I854" s="2" t="n">
        <v>1</v>
      </c>
      <c r="J854" s="5" t="n">
        <v>46093</v>
      </c>
      <c r="K854" s="3" t="n">
        <v>17.9</v>
      </c>
      <c r="L854" s="6" t="inlineStr"/>
      <c r="M854" s="7">
        <f>IF(L854&gt;0,(K854-L854)/K854*100,"")</f>
        <v/>
      </c>
    </row>
    <row r="855">
      <c r="A855" t="n">
        <v>854</v>
      </c>
      <c r="B855" t="inlineStr">
        <is>
          <t>8003</t>
        </is>
      </c>
      <c r="C855" t="inlineStr">
        <is>
          <t>SILLA NIÑOS DOBLABLE</t>
        </is>
      </c>
      <c r="D855" t="inlineStr">
        <is>
          <t>Muebles</t>
        </is>
      </c>
      <c r="E855" t="inlineStr">
        <is>
          <t>Infantil</t>
        </is>
      </c>
      <c r="F855" t="inlineStr">
        <is>
          <t>Muebles Infantiles</t>
        </is>
      </c>
      <c r="G855" s="8" t="n">
        <v>17.8</v>
      </c>
      <c r="H855" s="9" t="n">
        <v>2</v>
      </c>
      <c r="I855" t="n">
        <v>1</v>
      </c>
      <c r="J855" s="10" t="n">
        <v>46098</v>
      </c>
      <c r="K855" s="8" t="n">
        <v>8.9</v>
      </c>
      <c r="L855" s="6" t="inlineStr"/>
      <c r="M855" s="7">
        <f>IF(L855&gt;0,(K855-L855)/K855*100,"")</f>
        <v/>
      </c>
    </row>
    <row r="856">
      <c r="A856" s="2" t="n">
        <v>855</v>
      </c>
      <c r="B856" s="2" t="inlineStr">
        <is>
          <t>74931683477821</t>
        </is>
      </c>
      <c r="C856" s="2" t="inlineStr">
        <is>
          <t>SOBRE MANILA</t>
        </is>
      </c>
      <c r="D856" s="2" t="inlineStr">
        <is>
          <t>Librería y Oficina</t>
        </is>
      </c>
      <c r="E856" s="2" t="inlineStr">
        <is>
          <t>Útiles Escolares</t>
        </is>
      </c>
      <c r="F856" s="2" t="inlineStr">
        <is>
          <t>Sobres</t>
        </is>
      </c>
      <c r="G856" s="3" t="n">
        <v>17.76</v>
      </c>
      <c r="H856" s="4" t="n">
        <v>30</v>
      </c>
      <c r="I856" s="2" t="n">
        <v>10</v>
      </c>
      <c r="J856" s="5" t="n">
        <v>46153</v>
      </c>
      <c r="K856" s="3" t="n">
        <v>0.59</v>
      </c>
      <c r="L856" s="6" t="inlineStr"/>
      <c r="M856" s="7">
        <f>IF(L856&gt;0,(K856-L856)/K856*100,"")</f>
        <v/>
      </c>
    </row>
    <row r="857">
      <c r="A857" t="n">
        <v>856</v>
      </c>
      <c r="B857" t="inlineStr">
        <is>
          <t>ARC-C3</t>
        </is>
      </c>
      <c r="C857" t="inlineStr">
        <is>
          <t>CORTINA CUMPLEAÑOS</t>
        </is>
      </c>
      <c r="D857" t="inlineStr">
        <is>
          <t>Fiestas y Cumpleaños</t>
        </is>
      </c>
      <c r="E857" t="inlineStr">
        <is>
          <t>Cumpleaños</t>
        </is>
      </c>
      <c r="F857" t="inlineStr">
        <is>
          <t>Cortinas de Cumpleaños</t>
        </is>
      </c>
      <c r="G857" s="8" t="n">
        <v>17.1</v>
      </c>
      <c r="H857" s="9" t="n">
        <v>9</v>
      </c>
      <c r="I857" t="n">
        <v>9</v>
      </c>
      <c r="J857" s="10" t="n">
        <v>46130</v>
      </c>
      <c r="K857" s="8" t="n">
        <v>1.9</v>
      </c>
      <c r="L857" s="6" t="inlineStr"/>
      <c r="M857" s="7">
        <f>IF(L857&gt;0,(K857-L857)/K857*100,"")</f>
        <v/>
      </c>
    </row>
    <row r="858">
      <c r="A858" s="2" t="n">
        <v>857</v>
      </c>
      <c r="B858" s="2" t="inlineStr">
        <is>
          <t>76106757690939</t>
        </is>
      </c>
      <c r="C858" s="2" t="inlineStr">
        <is>
          <t>FID ARROZ (GUOQIAM) INST S/CARNE AGRIA</t>
        </is>
      </c>
      <c r="D858" s="2" t="inlineStr">
        <is>
          <t>Alimentos y Bebidas Importadas</t>
        </is>
      </c>
      <c r="E858" s="2" t="inlineStr">
        <is>
          <t>Sopas y Fideos Instantáneos</t>
        </is>
      </c>
      <c r="F858" s="2" t="inlineStr">
        <is>
          <t>Fideos de Arroz</t>
        </is>
      </c>
      <c r="G858" s="3" t="n">
        <v>17</v>
      </c>
      <c r="H858" s="4" t="n">
        <v>2</v>
      </c>
      <c r="I858" s="2" t="n">
        <v>2</v>
      </c>
      <c r="J858" s="5" t="n">
        <v>46109</v>
      </c>
      <c r="K858" s="3" t="n">
        <v>8.5</v>
      </c>
      <c r="L858" s="6" t="inlineStr"/>
      <c r="M858" s="7">
        <f>IF(L858&gt;0,(K858-L858)/K858*100,"")</f>
        <v/>
      </c>
    </row>
    <row r="859">
      <c r="A859" t="n">
        <v>858</v>
      </c>
      <c r="B859" t="inlineStr">
        <is>
          <t>CHE-03</t>
        </is>
      </c>
      <c r="C859" t="inlineStr">
        <is>
          <t>LAVAVAJILLA LIQUIDO 3.8L CHEMICLIN</t>
        </is>
      </c>
      <c r="D859" t="inlineStr">
        <is>
          <t>Limpieza</t>
        </is>
      </c>
      <c r="E859" t="inlineStr">
        <is>
          <t>Lavavajillas</t>
        </is>
      </c>
      <c r="F859" t="inlineStr">
        <is>
          <t>Lavavajillas Líquido</t>
        </is>
      </c>
      <c r="G859" s="8" t="n">
        <v>16.5</v>
      </c>
      <c r="H859" s="9" t="n">
        <v>1</v>
      </c>
      <c r="I859" t="n">
        <v>1</v>
      </c>
      <c r="J859" s="10" t="n">
        <v>46095</v>
      </c>
      <c r="K859" s="8" t="n">
        <v>16.5</v>
      </c>
      <c r="L859" s="6" t="inlineStr"/>
      <c r="M859" s="7">
        <f>IF(L859&gt;0,(K859-L859)/K859*100,"")</f>
        <v/>
      </c>
    </row>
    <row r="860">
      <c r="A860" s="2" t="n">
        <v>859</v>
      </c>
      <c r="B860" s="2" t="inlineStr">
        <is>
          <t>PAP-0001</t>
        </is>
      </c>
      <c r="C860" s="2" t="inlineStr">
        <is>
          <t>PAPEL REGALO</t>
        </is>
      </c>
      <c r="D860" s="2" t="inlineStr">
        <is>
          <t>Hogar y Decoración</t>
        </is>
      </c>
      <c r="E860" s="2" t="inlineStr">
        <is>
          <t>Empaque y Regalo</t>
        </is>
      </c>
      <c r="F860" s="2" t="inlineStr">
        <is>
          <t>Papel de Regalo</t>
        </is>
      </c>
      <c r="G860" s="3" t="n">
        <v>16</v>
      </c>
      <c r="H860" s="4" t="n">
        <v>20</v>
      </c>
      <c r="I860" s="2" t="n">
        <v>8</v>
      </c>
      <c r="J860" s="5" t="n">
        <v>46123</v>
      </c>
      <c r="K860" s="3" t="n">
        <v>0.8</v>
      </c>
      <c r="L860" s="6" t="inlineStr"/>
      <c r="M860" s="7">
        <f>IF(L860&gt;0,(K860-L860)/K860*100,"")</f>
        <v/>
      </c>
    </row>
    <row r="861">
      <c r="A861" t="n">
        <v>860</v>
      </c>
      <c r="B861" t="inlineStr">
        <is>
          <t>EFMP-1</t>
        </is>
      </c>
      <c r="C861" t="inlineStr">
        <is>
          <t>ESPUMA FACIAL MILK MUSA 150ML</t>
        </is>
      </c>
      <c r="D861" t="inlineStr">
        <is>
          <t>Belleza</t>
        </is>
      </c>
      <c r="E861" t="inlineStr">
        <is>
          <t>Cuidado Facial</t>
        </is>
      </c>
      <c r="F861" t="inlineStr">
        <is>
          <t>Limpieza Facial</t>
        </is>
      </c>
      <c r="G861" s="8" t="n">
        <v>15.9</v>
      </c>
      <c r="H861" s="9" t="n">
        <v>1</v>
      </c>
      <c r="I861" t="n">
        <v>1</v>
      </c>
      <c r="J861" s="10" t="n">
        <v>46122</v>
      </c>
      <c r="K861" s="8" t="n">
        <v>15.9</v>
      </c>
      <c r="L861" s="6" t="inlineStr"/>
      <c r="M861" s="7">
        <f>IF(L861&gt;0,(K861-L861)/K861*100,"")</f>
        <v/>
      </c>
    </row>
    <row r="862">
      <c r="A862" s="2" t="n">
        <v>861</v>
      </c>
      <c r="B862" s="2" t="inlineStr">
        <is>
          <t>76505104009418</t>
        </is>
      </c>
      <c r="C862" s="2" t="inlineStr">
        <is>
          <t>SWEET CAT CORDERO Y ARROZ</t>
        </is>
      </c>
      <c r="D862" s="2" t="inlineStr">
        <is>
          <t>Mascotas</t>
        </is>
      </c>
      <c r="E862" s="2" t="inlineStr">
        <is>
          <t>Alimentación para Mascotas</t>
        </is>
      </c>
      <c r="F862" s="2" t="inlineStr">
        <is>
          <t>Alimento y Arena para Mascotas</t>
        </is>
      </c>
      <c r="G862" s="3" t="n">
        <v>15.6</v>
      </c>
      <c r="H862" s="4" t="n">
        <v>4</v>
      </c>
      <c r="I862" s="2" t="n">
        <v>4</v>
      </c>
      <c r="J862" s="5" t="n">
        <v>46176</v>
      </c>
      <c r="K862" s="3" t="n">
        <v>3.9</v>
      </c>
      <c r="L862" s="6" t="inlineStr"/>
      <c r="M862" s="7">
        <f>IF(L862&gt;0,(K862-L862)/K862*100,"")</f>
        <v/>
      </c>
    </row>
    <row r="863">
      <c r="A863" t="n">
        <v>862</v>
      </c>
      <c r="B863" t="inlineStr">
        <is>
          <t>LIMK-017</t>
        </is>
      </c>
      <c r="C863" t="inlineStr">
        <is>
          <t>SACAGRASA 900 PET CHEMI</t>
        </is>
      </c>
      <c r="D863" t="inlineStr">
        <is>
          <t>Limpieza</t>
        </is>
      </c>
      <c r="E863" t="inlineStr">
        <is>
          <t>Limpiadores Específicos</t>
        </is>
      </c>
      <c r="F863" t="inlineStr">
        <is>
          <t>Quitagrasas</t>
        </is>
      </c>
      <c r="G863" s="8" t="n">
        <v>15.6</v>
      </c>
      <c r="H863" s="9" t="n">
        <v>4</v>
      </c>
      <c r="I863" t="n">
        <v>3</v>
      </c>
      <c r="J863" s="10" t="n">
        <v>46098</v>
      </c>
      <c r="K863" s="8" t="n">
        <v>3.9</v>
      </c>
      <c r="L863" s="6" t="inlineStr"/>
      <c r="M863" s="7">
        <f>IF(L863&gt;0,(K863-L863)/K863*100,"")</f>
        <v/>
      </c>
    </row>
    <row r="864">
      <c r="A864" s="2" t="n">
        <v>863</v>
      </c>
      <c r="B864" s="2" t="inlineStr">
        <is>
          <t>3615E</t>
        </is>
      </c>
      <c r="C864" s="2" t="inlineStr">
        <is>
          <t>JGT PISTOLA BOLSA GRANDE</t>
        </is>
      </c>
      <c r="D864" s="2" t="inlineStr">
        <is>
          <t>Juguetes y Juegos</t>
        </is>
      </c>
      <c r="E864" s="2" t="inlineStr">
        <is>
          <t>Juguetes</t>
        </is>
      </c>
      <c r="F864" s="2" t="inlineStr">
        <is>
          <t>Juguetes Variados</t>
        </is>
      </c>
      <c r="G864" s="3" t="n">
        <v>15</v>
      </c>
      <c r="H864" s="4" t="n">
        <v>1</v>
      </c>
      <c r="I864" s="2" t="n">
        <v>1</v>
      </c>
      <c r="J864" s="5" t="n">
        <v>46157</v>
      </c>
      <c r="K864" s="3" t="n">
        <v>15</v>
      </c>
      <c r="L864" s="6" t="inlineStr"/>
      <c r="M864" s="7">
        <f>IF(L864&gt;0,(K864-L864)/K864*100,"")</f>
        <v/>
      </c>
    </row>
    <row r="865">
      <c r="A865" t="n">
        <v>864</v>
      </c>
      <c r="B865" t="inlineStr">
        <is>
          <t>PL-01</t>
        </is>
      </c>
      <c r="C865" t="inlineStr">
        <is>
          <t>BOWL CHIFERO CUADRADO CHICO</t>
        </is>
      </c>
      <c r="D865" t="inlineStr">
        <is>
          <t>Hogar y Decoración</t>
        </is>
      </c>
      <c r="E865" t="inlineStr">
        <is>
          <t>Menaje de Cocina</t>
        </is>
      </c>
      <c r="F865" t="inlineStr">
        <is>
          <t>Utensilios de Repostería, Moldes y Bowls</t>
        </is>
      </c>
      <c r="G865" s="8" t="n">
        <v>15</v>
      </c>
      <c r="H865" s="9" t="n">
        <v>10</v>
      </c>
      <c r="I865" t="n">
        <v>8</v>
      </c>
      <c r="J865" s="10" t="n">
        <v>46094</v>
      </c>
      <c r="K865" s="8" t="n">
        <v>1.5</v>
      </c>
      <c r="L865" s="6" t="inlineStr"/>
      <c r="M865" s="7">
        <f>IF(L865&gt;0,(K865-L865)/K865*100,"")</f>
        <v/>
      </c>
    </row>
    <row r="866">
      <c r="A866" s="2" t="n">
        <v>865</v>
      </c>
      <c r="B866" s="2" t="inlineStr">
        <is>
          <t>MER-2111</t>
        </is>
      </c>
      <c r="C866" s="2" t="inlineStr">
        <is>
          <t>CHINCHE COLORES</t>
        </is>
      </c>
      <c r="D866" s="2" t="inlineStr">
        <is>
          <t>Librería y Oficina</t>
        </is>
      </c>
      <c r="E866" s="2" t="inlineStr">
        <is>
          <t>Útiles Escolares</t>
        </is>
      </c>
      <c r="F866" s="2" t="inlineStr">
        <is>
          <t>Colores y Crayolas</t>
        </is>
      </c>
      <c r="G866" s="3" t="n">
        <v>14.96</v>
      </c>
      <c r="H866" s="4" t="n">
        <v>19</v>
      </c>
      <c r="I866" s="2" t="n">
        <v>14</v>
      </c>
      <c r="J866" s="5" t="n">
        <v>46148</v>
      </c>
      <c r="K866" s="3" t="n">
        <v>0.79</v>
      </c>
      <c r="L866" s="6" t="inlineStr"/>
      <c r="M866" s="7">
        <f>IF(L866&gt;0,(K866-L866)/K866*100,"")</f>
        <v/>
      </c>
    </row>
    <row r="867">
      <c r="A867" t="n">
        <v>866</v>
      </c>
      <c r="B867" t="inlineStr">
        <is>
          <t>F-582#1</t>
        </is>
      </c>
      <c r="C867" t="inlineStr">
        <is>
          <t>PELUCHE VACA</t>
        </is>
      </c>
      <c r="D867" t="inlineStr">
        <is>
          <t>Tendencias Kawaii</t>
        </is>
      </c>
      <c r="E867" t="inlineStr">
        <is>
          <t>Peluches</t>
        </is>
      </c>
      <c r="F867" t="inlineStr">
        <is>
          <t>Peluches Kawaii</t>
        </is>
      </c>
      <c r="G867" s="8" t="n">
        <v>14.9</v>
      </c>
      <c r="H867" s="9" t="n">
        <v>1</v>
      </c>
      <c r="I867" t="n">
        <v>1</v>
      </c>
      <c r="J867" s="10" t="n">
        <v>46106</v>
      </c>
      <c r="K867" s="8" t="n">
        <v>14.9</v>
      </c>
      <c r="L867" s="6" t="inlineStr"/>
      <c r="M867" s="7">
        <f>IF(L867&gt;0,(K867-L867)/K867*100,"")</f>
        <v/>
      </c>
    </row>
    <row r="868">
      <c r="A868" s="2" t="n">
        <v>867</v>
      </c>
      <c r="B868" s="2" t="inlineStr">
        <is>
          <t>F-583#2</t>
        </is>
      </c>
      <c r="C868" s="2" t="inlineStr">
        <is>
          <t>PELUCHE CERDO</t>
        </is>
      </c>
      <c r="D868" s="2" t="inlineStr">
        <is>
          <t>Tendencias Kawaii</t>
        </is>
      </c>
      <c r="E868" s="2" t="inlineStr">
        <is>
          <t>Peluches</t>
        </is>
      </c>
      <c r="F868" s="2" t="inlineStr">
        <is>
          <t>Peluches Kawaii</t>
        </is>
      </c>
      <c r="G868" s="3" t="n">
        <v>14.9</v>
      </c>
      <c r="H868" s="4" t="n">
        <v>1</v>
      </c>
      <c r="I868" s="2" t="n">
        <v>1</v>
      </c>
      <c r="J868" s="5" t="n">
        <v>46107</v>
      </c>
      <c r="K868" s="3" t="n">
        <v>14.9</v>
      </c>
      <c r="L868" s="6" t="inlineStr"/>
      <c r="M868" s="7">
        <f>IF(L868&gt;0,(K868-L868)/K868*100,"")</f>
        <v/>
      </c>
    </row>
    <row r="869">
      <c r="A869" t="n">
        <v>868</v>
      </c>
      <c r="B869" t="inlineStr">
        <is>
          <t>7755354000291</t>
        </is>
      </c>
      <c r="C869" t="inlineStr">
        <is>
          <t>Cuaderno apolo triple raya</t>
        </is>
      </c>
      <c r="D869" t="inlineStr">
        <is>
          <t>Librería y Oficina</t>
        </is>
      </c>
      <c r="E869" t="inlineStr">
        <is>
          <t>Útiles Escolares</t>
        </is>
      </c>
      <c r="F869" t="inlineStr">
        <is>
          <t>Cuadernos y Blocks</t>
        </is>
      </c>
      <c r="G869" s="8" t="n">
        <v>14.5</v>
      </c>
      <c r="H869" s="9" t="n">
        <v>5</v>
      </c>
      <c r="I869" t="n">
        <v>2</v>
      </c>
      <c r="J869" s="10" t="n">
        <v>46125</v>
      </c>
      <c r="K869" s="8" t="n">
        <v>2.9</v>
      </c>
      <c r="L869" s="6" t="inlineStr"/>
      <c r="M869" s="7">
        <f>IF(L869&gt;0,(K869-L869)/K869*100,"")</f>
        <v/>
      </c>
    </row>
    <row r="870">
      <c r="A870" s="2" t="n">
        <v>869</v>
      </c>
      <c r="B870" s="2" t="inlineStr">
        <is>
          <t>MER08-48</t>
        </is>
      </c>
      <c r="C870" s="2" t="inlineStr">
        <is>
          <t>Colores Delgado x36</t>
        </is>
      </c>
      <c r="D870" s="2" t="inlineStr">
        <is>
          <t>Librería y Oficina</t>
        </is>
      </c>
      <c r="E870" s="2" t="inlineStr">
        <is>
          <t>Útiles Escolares</t>
        </is>
      </c>
      <c r="F870" s="2" t="inlineStr">
        <is>
          <t>Colores y Crayolas</t>
        </is>
      </c>
      <c r="G870" s="3" t="n">
        <v>14.5</v>
      </c>
      <c r="H870" s="4" t="n">
        <v>1</v>
      </c>
      <c r="I870" s="2" t="n">
        <v>1</v>
      </c>
      <c r="J870" s="5" t="n">
        <v>46089</v>
      </c>
      <c r="K870" s="3" t="n">
        <v>14.5</v>
      </c>
      <c r="L870" s="6" t="inlineStr"/>
      <c r="M870" s="7">
        <f>IF(L870&gt;0,(K870-L870)/K870*100,"")</f>
        <v/>
      </c>
    </row>
    <row r="871">
      <c r="A871" t="n">
        <v>870</v>
      </c>
      <c r="B871" t="inlineStr">
        <is>
          <t>75720683912571</t>
        </is>
      </c>
      <c r="C871" t="inlineStr">
        <is>
          <t>Limpiatodo Queen 350ML</t>
        </is>
      </c>
      <c r="D871" t="inlineStr">
        <is>
          <t>Limpieza</t>
        </is>
      </c>
      <c r="E871" t="inlineStr">
        <is>
          <t>Limpiadores Específicos</t>
        </is>
      </c>
      <c r="F871" t="inlineStr">
        <is>
          <t>Limpiadores Multiuso</t>
        </is>
      </c>
      <c r="G871" s="8" t="n">
        <v>14.4</v>
      </c>
      <c r="H871" s="9" t="n">
        <v>8</v>
      </c>
      <c r="I871" t="n">
        <v>1</v>
      </c>
      <c r="J871" s="10" t="n">
        <v>46099</v>
      </c>
      <c r="K871" s="8" t="n">
        <v>1.8</v>
      </c>
      <c r="L871" s="6" t="inlineStr"/>
      <c r="M871" s="7">
        <f>IF(L871&gt;0,(K871-L871)/K871*100,"")</f>
        <v/>
      </c>
    </row>
    <row r="872">
      <c r="A872" s="2" t="n">
        <v>871</v>
      </c>
      <c r="B872" s="2" t="inlineStr">
        <is>
          <t>320070</t>
        </is>
      </c>
      <c r="C872" s="2" t="inlineStr">
        <is>
          <t>SET FLORES</t>
        </is>
      </c>
      <c r="D872" s="2" t="inlineStr">
        <is>
          <t>Hogar y Decoración</t>
        </is>
      </c>
      <c r="E872" s="2" t="inlineStr">
        <is>
          <t>Decoración</t>
        </is>
      </c>
      <c r="F872" s="2" t="inlineStr">
        <is>
          <t>Flores y Floreros</t>
        </is>
      </c>
      <c r="G872" s="3" t="n">
        <v>14</v>
      </c>
      <c r="H872" s="4" t="n">
        <v>5</v>
      </c>
      <c r="I872" s="2" t="n">
        <v>3</v>
      </c>
      <c r="J872" s="5" t="n">
        <v>46100</v>
      </c>
      <c r="K872" s="3" t="n">
        <v>2.8</v>
      </c>
      <c r="L872" s="6" t="inlineStr"/>
      <c r="M872" s="7">
        <f>IF(L872&gt;0,(K872-L872)/K872*100,"")</f>
        <v/>
      </c>
    </row>
    <row r="873">
      <c r="A873" t="n">
        <v>872</v>
      </c>
      <c r="B873" t="inlineStr">
        <is>
          <t>360229</t>
        </is>
      </c>
      <c r="C873" t="inlineStr">
        <is>
          <t>PERFUME VARIADO ME TOO! X20ML</t>
        </is>
      </c>
      <c r="D873" t="inlineStr">
        <is>
          <t>Belleza</t>
        </is>
      </c>
      <c r="E873" t="inlineStr">
        <is>
          <t>Perfumes y Fragancias</t>
        </is>
      </c>
      <c r="F873" t="inlineStr">
        <is>
          <t>Perfumes para Hombre</t>
        </is>
      </c>
      <c r="G873" s="8" t="n">
        <v>13.8</v>
      </c>
      <c r="H873" s="9" t="n">
        <v>2</v>
      </c>
      <c r="I873" t="n">
        <v>2</v>
      </c>
      <c r="J873" s="10" t="n">
        <v>46110</v>
      </c>
      <c r="K873" s="8" t="n">
        <v>6.9</v>
      </c>
      <c r="L873" s="6" t="inlineStr"/>
      <c r="M873" s="7">
        <f>IF(L873&gt;0,(K873-L873)/K873*100,"")</f>
        <v/>
      </c>
    </row>
    <row r="874">
      <c r="A874" s="2" t="n">
        <v>873</v>
      </c>
      <c r="B874" s="2" t="inlineStr">
        <is>
          <t>P0189</t>
        </is>
      </c>
      <c r="C874" s="2" t="inlineStr">
        <is>
          <t>Colet gema x1</t>
        </is>
      </c>
      <c r="D874" s="2" t="inlineStr">
        <is>
          <t>Accesorios</t>
        </is>
      </c>
      <c r="E874" s="2" t="inlineStr">
        <is>
          <t>Accesorios para Cabello</t>
        </is>
      </c>
      <c r="F874" s="2" t="inlineStr">
        <is>
          <t>Colets y Ganchos</t>
        </is>
      </c>
      <c r="G874" s="3" t="n">
        <v>13.5</v>
      </c>
      <c r="H874" s="4" t="n">
        <v>9</v>
      </c>
      <c r="I874" s="2" t="n">
        <v>7</v>
      </c>
      <c r="J874" s="5" t="n">
        <v>46098</v>
      </c>
      <c r="K874" s="3" t="n">
        <v>1.5</v>
      </c>
      <c r="L874" s="6" t="inlineStr"/>
      <c r="M874" s="7">
        <f>IF(L874&gt;0,(K874-L874)/K874*100,"")</f>
        <v/>
      </c>
    </row>
    <row r="875">
      <c r="A875" t="n">
        <v>874</v>
      </c>
      <c r="B875" t="inlineStr">
        <is>
          <t>LIMK-008</t>
        </is>
      </c>
      <c r="C875" t="inlineStr">
        <is>
          <t>JABON LIQUIDO MANOS ANTIBACTERIAL PET GALON CHEMI</t>
        </is>
      </c>
      <c r="D875" t="inlineStr">
        <is>
          <t>Cuidado Personal y Salud</t>
        </is>
      </c>
      <c r="E875" t="inlineStr">
        <is>
          <t>Higiene Personal</t>
        </is>
      </c>
      <c r="F875" t="inlineStr">
        <is>
          <t>Jabones Liquido para Manos</t>
        </is>
      </c>
      <c r="G875" s="8" t="n">
        <v>13.5</v>
      </c>
      <c r="H875" s="9" t="n">
        <v>1</v>
      </c>
      <c r="I875" t="n">
        <v>1</v>
      </c>
      <c r="J875" s="10" t="n">
        <v>46108</v>
      </c>
      <c r="K875" s="8" t="n">
        <v>13.5</v>
      </c>
      <c r="L875" s="6" t="inlineStr"/>
      <c r="M875" s="7">
        <f>IF(L875&gt;0,(K875-L875)/K875*100,"")</f>
        <v/>
      </c>
    </row>
    <row r="876">
      <c r="A876" s="2" t="n">
        <v>875</v>
      </c>
      <c r="B876" s="2" t="inlineStr">
        <is>
          <t>M3207</t>
        </is>
      </c>
      <c r="C876" s="2" t="inlineStr">
        <is>
          <t>CARTERA</t>
        </is>
      </c>
      <c r="D876" s="2" t="inlineStr">
        <is>
          <t>Accesorios</t>
        </is>
      </c>
      <c r="E876" s="2" t="inlineStr">
        <is>
          <t>Accesorios Mujer</t>
        </is>
      </c>
      <c r="F876" s="2" t="inlineStr">
        <is>
          <t>Carteras</t>
        </is>
      </c>
      <c r="G876" s="3" t="n">
        <v>13</v>
      </c>
      <c r="H876" s="4" t="n">
        <v>1</v>
      </c>
      <c r="I876" s="2" t="n">
        <v>1</v>
      </c>
      <c r="J876" s="5" t="n">
        <v>46114</v>
      </c>
      <c r="K876" s="3" t="n">
        <v>13</v>
      </c>
      <c r="L876" s="6" t="inlineStr"/>
      <c r="M876" s="7">
        <f>IF(L876&gt;0,(K876-L876)/K876*100,"")</f>
        <v/>
      </c>
    </row>
    <row r="877">
      <c r="A877" t="n">
        <v>876</v>
      </c>
      <c r="B877" t="inlineStr">
        <is>
          <t>74931686600890</t>
        </is>
      </c>
      <c r="C877" t="inlineStr">
        <is>
          <t>SET 2 OSOS + FLORES EN CAJA</t>
        </is>
      </c>
      <c r="D877" t="inlineStr">
        <is>
          <t>Mejoramiento del Hogar</t>
        </is>
      </c>
      <c r="E877" t="inlineStr">
        <is>
          <t>Jardín</t>
        </is>
      </c>
      <c r="F877" t="inlineStr">
        <is>
          <t>Plantas Artificiales</t>
        </is>
      </c>
      <c r="G877" s="8" t="n">
        <v>13</v>
      </c>
      <c r="H877" s="9" t="n">
        <v>2</v>
      </c>
      <c r="I877" t="n">
        <v>2</v>
      </c>
      <c r="J877" s="10" t="n">
        <v>46096</v>
      </c>
      <c r="K877" s="8" t="n">
        <v>6.5</v>
      </c>
      <c r="L877" s="6" t="inlineStr"/>
      <c r="M877" s="7">
        <f>IF(L877&gt;0,(K877-L877)/K877*100,"")</f>
        <v/>
      </c>
    </row>
    <row r="878">
      <c r="A878" s="2" t="n">
        <v>877</v>
      </c>
      <c r="B878" s="2" t="inlineStr">
        <is>
          <t>75071348267306</t>
        </is>
      </c>
      <c r="C878" s="2" t="inlineStr">
        <is>
          <t>ESMALTE BEAUTY</t>
        </is>
      </c>
      <c r="D878" s="2" t="inlineStr">
        <is>
          <t>Belleza</t>
        </is>
      </c>
      <c r="E878" s="2" t="inlineStr">
        <is>
          <t>Maquillaje y Cosméticos</t>
        </is>
      </c>
      <c r="F878" s="2" t="inlineStr">
        <is>
          <t>Uñas y Esmaltes</t>
        </is>
      </c>
      <c r="G878" s="3" t="n">
        <v>12.5</v>
      </c>
      <c r="H878" s="4" t="n">
        <v>5</v>
      </c>
      <c r="I878" s="2" t="n">
        <v>5</v>
      </c>
      <c r="J878" s="5" t="n">
        <v>46176</v>
      </c>
      <c r="K878" s="3" t="n">
        <v>2.5</v>
      </c>
      <c r="L878" s="6" t="inlineStr"/>
      <c r="M878" s="7">
        <f>IF(L878&gt;0,(K878-L878)/K878*100,"")</f>
        <v/>
      </c>
    </row>
    <row r="879">
      <c r="A879" t="n">
        <v>878</v>
      </c>
      <c r="B879" t="inlineStr">
        <is>
          <t>P018</t>
        </is>
      </c>
      <c r="C879" t="inlineStr">
        <is>
          <t>LIMPIATODO 1L</t>
        </is>
      </c>
      <c r="D879" t="inlineStr">
        <is>
          <t>Limpieza</t>
        </is>
      </c>
      <c r="E879" t="inlineStr">
        <is>
          <t>Limpiadores Específicos</t>
        </is>
      </c>
      <c r="F879" t="inlineStr">
        <is>
          <t>Limpiadores Multiuso</t>
        </is>
      </c>
      <c r="G879" s="8" t="n">
        <v>12.5</v>
      </c>
      <c r="H879" s="9" t="n">
        <v>5</v>
      </c>
      <c r="I879" t="n">
        <v>5</v>
      </c>
      <c r="J879" s="10" t="n">
        <v>46124</v>
      </c>
      <c r="K879" s="8" t="n">
        <v>2.5</v>
      </c>
      <c r="L879" s="6" t="inlineStr"/>
      <c r="M879" s="7">
        <f>IF(L879&gt;0,(K879-L879)/K879*100,"")</f>
        <v/>
      </c>
    </row>
    <row r="880">
      <c r="A880" s="2" t="n">
        <v>879</v>
      </c>
      <c r="B880" s="2" t="inlineStr">
        <is>
          <t>432202</t>
        </is>
      </c>
      <c r="C880" s="2" t="inlineStr">
        <is>
          <t>DC PINOCCHIO COLONIA 180ML</t>
        </is>
      </c>
      <c r="D880" s="2" t="inlineStr">
        <is>
          <t>Belleza</t>
        </is>
      </c>
      <c r="E880" s="2" t="inlineStr">
        <is>
          <t>Perfumes y Fragancias</t>
        </is>
      </c>
      <c r="F880" s="2" t="inlineStr">
        <is>
          <t>Perfumes Infantiles con Licencia</t>
        </is>
      </c>
      <c r="G880" s="3" t="n">
        <v>12.5</v>
      </c>
      <c r="H880" s="4" t="n">
        <v>1</v>
      </c>
      <c r="I880" s="2" t="n">
        <v>1</v>
      </c>
      <c r="J880" s="5" t="n">
        <v>46114</v>
      </c>
      <c r="K880" s="3" t="n">
        <v>12.5</v>
      </c>
      <c r="L880" s="6" t="inlineStr"/>
      <c r="M880" s="7">
        <f>IF(L880&gt;0,(K880-L880)/K880*100,"")</f>
        <v/>
      </c>
    </row>
    <row r="881">
      <c r="A881" t="n">
        <v>880</v>
      </c>
      <c r="B881" t="inlineStr">
        <is>
          <t>76106757968550</t>
        </is>
      </c>
      <c r="C881" t="inlineStr">
        <is>
          <t>Bebida de Aloe Sabor Uva Baolisu 500ml</t>
        </is>
      </c>
      <c r="D881" t="inlineStr">
        <is>
          <t>Alimentos y Bebidas Importadas</t>
        </is>
      </c>
      <c r="E881" t="inlineStr">
        <is>
          <t>Bebidas Asiáticas</t>
        </is>
      </c>
      <c r="F881" t="inlineStr">
        <is>
          <t>Aloe Vera</t>
        </is>
      </c>
      <c r="G881" s="8" t="n">
        <v>12</v>
      </c>
      <c r="H881" s="9" t="n">
        <v>2</v>
      </c>
      <c r="I881" t="n">
        <v>2</v>
      </c>
      <c r="J881" s="10" t="n">
        <v>46091</v>
      </c>
      <c r="K881" s="8" t="n">
        <v>6</v>
      </c>
      <c r="L881" s="6" t="inlineStr"/>
      <c r="M881" s="7">
        <f>IF(L881&gt;0,(K881-L881)/K881*100,"")</f>
        <v/>
      </c>
    </row>
    <row r="882">
      <c r="A882" s="2" t="n">
        <v>881</v>
      </c>
      <c r="B882" s="2" t="inlineStr">
        <is>
          <t>9257</t>
        </is>
      </c>
      <c r="C882" s="2" t="inlineStr">
        <is>
          <t>(G) SET PLATOS DESCARTABLES (10PZ)</t>
        </is>
      </c>
      <c r="D882" s="2" t="inlineStr">
        <is>
          <t>Fiestas y Cumpleaños</t>
        </is>
      </c>
      <c r="E882" s="2" t="inlineStr">
        <is>
          <t>Cumpleaños</t>
        </is>
      </c>
      <c r="F882" s="2" t="inlineStr">
        <is>
          <t>Artículos Descartables de Fiesta</t>
        </is>
      </c>
      <c r="G882" s="3" t="n">
        <v>11.9</v>
      </c>
      <c r="H882" s="4" t="n">
        <v>7</v>
      </c>
      <c r="I882" s="2" t="n">
        <v>5</v>
      </c>
      <c r="J882" s="5" t="n">
        <v>46094</v>
      </c>
      <c r="K882" s="3" t="n">
        <v>1.7</v>
      </c>
      <c r="L882" s="6" t="inlineStr"/>
      <c r="M882" s="7">
        <f>IF(L882&gt;0,(K882-L882)/K882*100,"")</f>
        <v/>
      </c>
    </row>
    <row r="883">
      <c r="A883" t="n">
        <v>882</v>
      </c>
      <c r="B883" t="inlineStr">
        <is>
          <t>704014</t>
        </is>
      </c>
      <c r="C883" t="inlineStr">
        <is>
          <t>25 SCOOL BOT PP 590ML C/CAÑA DRAGON BALL</t>
        </is>
      </c>
      <c r="D883" t="inlineStr">
        <is>
          <t>Librería y Oficina</t>
        </is>
      </c>
      <c r="E883" t="inlineStr">
        <is>
          <t>Loncheras y Taperes Escolares</t>
        </is>
      </c>
      <c r="F883" t="inlineStr">
        <is>
          <t>Botellas Escolares</t>
        </is>
      </c>
      <c r="G883" s="8" t="n">
        <v>11.9</v>
      </c>
      <c r="H883" s="9" t="n">
        <v>1</v>
      </c>
      <c r="I883" t="n">
        <v>1</v>
      </c>
      <c r="J883" s="10" t="n">
        <v>46089</v>
      </c>
      <c r="K883" s="8" t="n">
        <v>11.9</v>
      </c>
      <c r="L883" s="6" t="inlineStr"/>
      <c r="M883" s="7">
        <f>IF(L883&gt;0,(K883-L883)/K883*100,"")</f>
        <v/>
      </c>
    </row>
    <row r="884">
      <c r="A884" s="2" t="n">
        <v>883</v>
      </c>
      <c r="B884" s="2" t="inlineStr">
        <is>
          <t>74960424444957</t>
        </is>
      </c>
      <c r="C884" s="2" t="inlineStr">
        <is>
          <t>TODO PAPEL</t>
        </is>
      </c>
      <c r="D884" s="2" t="inlineStr">
        <is>
          <t>Librería y Oficina</t>
        </is>
      </c>
      <c r="E884" s="2" t="inlineStr">
        <is>
          <t>Útiles Escolares</t>
        </is>
      </c>
      <c r="F884" s="2" t="inlineStr">
        <is>
          <t>Papeles y Cartulinas</t>
        </is>
      </c>
      <c r="G884" s="3" t="n">
        <v>11.8</v>
      </c>
      <c r="H884" s="4" t="n">
        <v>2</v>
      </c>
      <c r="I884" s="2" t="n">
        <v>2</v>
      </c>
      <c r="J884" s="5" t="n">
        <v>46097</v>
      </c>
      <c r="K884" s="3" t="n">
        <v>5.9</v>
      </c>
      <c r="L884" s="6" t="inlineStr"/>
      <c r="M884" s="7">
        <f>IF(L884&gt;0,(K884-L884)/K884*100,"")</f>
        <v/>
      </c>
    </row>
    <row r="885">
      <c r="A885" t="n">
        <v>884</v>
      </c>
      <c r="B885" t="inlineStr">
        <is>
          <t>200006</t>
        </is>
      </c>
      <c r="C885" t="inlineStr">
        <is>
          <t>CUCHILLO COCINA</t>
        </is>
      </c>
      <c r="D885" t="inlineStr">
        <is>
          <t>Hogar y Decoración</t>
        </is>
      </c>
      <c r="E885" t="inlineStr">
        <is>
          <t>Menaje de Cocina</t>
        </is>
      </c>
      <c r="F885" t="inlineStr">
        <is>
          <t>Utensilios de Cocina</t>
        </is>
      </c>
      <c r="G885" s="8" t="n">
        <v>11.8</v>
      </c>
      <c r="H885" s="9" t="n">
        <v>2</v>
      </c>
      <c r="I885" t="n">
        <v>2</v>
      </c>
      <c r="J885" s="10" t="n">
        <v>46112</v>
      </c>
      <c r="K885" s="8" t="n">
        <v>5.9</v>
      </c>
      <c r="L885" s="6" t="inlineStr"/>
      <c r="M885" s="7">
        <f>IF(L885&gt;0,(K885-L885)/K885*100,"")</f>
        <v/>
      </c>
    </row>
    <row r="886">
      <c r="A886" s="2" t="n">
        <v>885</v>
      </c>
      <c r="B886" s="2" t="inlineStr">
        <is>
          <t>92753-5</t>
        </is>
      </c>
      <c r="C886" s="2" t="inlineStr">
        <is>
          <t>JGT CARRO X5</t>
        </is>
      </c>
      <c r="D886" s="2" t="inlineStr">
        <is>
          <t>Juguetes y Juegos</t>
        </is>
      </c>
      <c r="E886" s="2" t="inlineStr">
        <is>
          <t>Juguetes</t>
        </is>
      </c>
      <c r="F886" s="2" t="inlineStr">
        <is>
          <t>Juguetes Variados</t>
        </is>
      </c>
      <c r="G886" s="3" t="n">
        <v>11.7</v>
      </c>
      <c r="H886" s="4" t="n">
        <v>3</v>
      </c>
      <c r="I886" s="2" t="n">
        <v>3</v>
      </c>
      <c r="J886" s="5" t="n">
        <v>46160</v>
      </c>
      <c r="K886" s="3" t="n">
        <v>3.9</v>
      </c>
      <c r="L886" s="6" t="inlineStr"/>
      <c r="M886" s="7">
        <f>IF(L886&gt;0,(K886-L886)/K886*100,"")</f>
        <v/>
      </c>
    </row>
    <row r="887">
      <c r="A887" t="n">
        <v>886</v>
      </c>
      <c r="B887" t="inlineStr">
        <is>
          <t>MS-3339</t>
        </is>
      </c>
      <c r="C887" t="inlineStr">
        <is>
          <t>TOMATODO</t>
        </is>
      </c>
      <c r="D887" t="inlineStr">
        <is>
          <t>Hogar y Decoración</t>
        </is>
      </c>
      <c r="E887" t="inlineStr">
        <is>
          <t>Menaje de Cocina</t>
        </is>
      </c>
      <c r="F887" t="inlineStr">
        <is>
          <t>Tomatodos y Botellas</t>
        </is>
      </c>
      <c r="G887" s="8" t="n">
        <v>10.9</v>
      </c>
      <c r="H887" s="9" t="n">
        <v>1</v>
      </c>
      <c r="I887" t="n">
        <v>1</v>
      </c>
      <c r="J887" s="10" t="n">
        <v>46098</v>
      </c>
      <c r="K887" s="8" t="n">
        <v>10.9</v>
      </c>
      <c r="L887" s="6" t="inlineStr"/>
      <c r="M887" s="7">
        <f>IF(L887&gt;0,(K887-L887)/K887*100,"")</f>
        <v/>
      </c>
    </row>
    <row r="888">
      <c r="A888" s="2" t="n">
        <v>887</v>
      </c>
      <c r="B888" s="2" t="inlineStr">
        <is>
          <t>P0181</t>
        </is>
      </c>
      <c r="C888" s="2" t="inlineStr">
        <is>
          <t>FORRO OFICIO MERCYFAND</t>
        </is>
      </c>
      <c r="D888" s="2" t="inlineStr">
        <is>
          <t>Librería y Oficina</t>
        </is>
      </c>
      <c r="E888" s="2" t="inlineStr">
        <is>
          <t>Útiles Escolares</t>
        </is>
      </c>
      <c r="F888" s="2" t="inlineStr">
        <is>
          <t>Forros para Cuadernos</t>
        </is>
      </c>
      <c r="G888" s="3" t="n">
        <v>10.5</v>
      </c>
      <c r="H888" s="4" t="n">
        <v>1</v>
      </c>
      <c r="I888" s="2" t="n">
        <v>1</v>
      </c>
      <c r="J888" s="5" t="n">
        <v>46098</v>
      </c>
      <c r="K888" s="3" t="n">
        <v>10.5</v>
      </c>
      <c r="L888" s="6" t="inlineStr"/>
      <c r="M888" s="7">
        <f>IF(L888&gt;0,(K888-L888)/K888*100,"")</f>
        <v/>
      </c>
    </row>
    <row r="889">
      <c r="A889" t="n">
        <v>888</v>
      </c>
      <c r="B889" t="inlineStr">
        <is>
          <t>PL-12</t>
        </is>
      </c>
      <c r="C889" t="inlineStr">
        <is>
          <t>JARRA 1L UTILISIMA CARAMELO</t>
        </is>
      </c>
      <c r="D889" t="inlineStr">
        <is>
          <t>Hogar y Decoración</t>
        </is>
      </c>
      <c r="E889" t="inlineStr">
        <is>
          <t>Menaje de Comedor</t>
        </is>
      </c>
      <c r="F889" t="inlineStr">
        <is>
          <t>Jarras</t>
        </is>
      </c>
      <c r="G889" s="8" t="n">
        <v>10.5</v>
      </c>
      <c r="H889" s="9" t="n">
        <v>7</v>
      </c>
      <c r="I889" t="n">
        <v>6</v>
      </c>
      <c r="J889" s="10" t="n">
        <v>46122</v>
      </c>
      <c r="K889" s="8" t="n">
        <v>1.5</v>
      </c>
      <c r="L889" s="6" t="inlineStr"/>
      <c r="M889" s="7">
        <f>IF(L889&gt;0,(K889-L889)/K889*100,"")</f>
        <v/>
      </c>
    </row>
    <row r="890">
      <c r="A890" s="2" t="n">
        <v>889</v>
      </c>
      <c r="B890" s="2" t="inlineStr">
        <is>
          <t>MS-3091</t>
        </is>
      </c>
      <c r="C890" s="2" t="inlineStr">
        <is>
          <t>JOYERO</t>
        </is>
      </c>
      <c r="D890" s="2" t="inlineStr">
        <is>
          <t>Accesorios</t>
        </is>
      </c>
      <c r="E890" s="2" t="inlineStr">
        <is>
          <t>Joyería y Bisutería</t>
        </is>
      </c>
      <c r="F890" s="2" t="inlineStr">
        <is>
          <t>Joyeros</t>
        </is>
      </c>
      <c r="G890" s="3" t="n">
        <v>10.5</v>
      </c>
      <c r="H890" s="4" t="n">
        <v>1</v>
      </c>
      <c r="I890" s="2" t="n">
        <v>1</v>
      </c>
      <c r="J890" s="5" t="n">
        <v>46093</v>
      </c>
      <c r="K890" s="3" t="n">
        <v>10.5</v>
      </c>
      <c r="L890" s="6" t="inlineStr"/>
      <c r="M890" s="7">
        <f>IF(L890&gt;0,(K890-L890)/K890*100,"")</f>
        <v/>
      </c>
    </row>
    <row r="891">
      <c r="A891" t="n">
        <v>890</v>
      </c>
      <c r="B891" t="inlineStr">
        <is>
          <t>ZDNML022</t>
        </is>
      </c>
      <c r="C891" t="inlineStr">
        <is>
          <t>MANTEL MICKY MESA</t>
        </is>
      </c>
      <c r="D891" t="inlineStr">
        <is>
          <t>Hogar y Decoración</t>
        </is>
      </c>
      <c r="E891" t="inlineStr">
        <is>
          <t>Menaje de Comedor</t>
        </is>
      </c>
      <c r="F891" t="inlineStr">
        <is>
          <t>Manteles, Individuales y Servilletas</t>
        </is>
      </c>
      <c r="G891" s="8" t="n">
        <v>10</v>
      </c>
      <c r="H891" s="9" t="n">
        <v>1</v>
      </c>
      <c r="I891" t="n">
        <v>1</v>
      </c>
      <c r="J891" s="10" t="n">
        <v>46154</v>
      </c>
      <c r="K891" s="8" t="n">
        <v>10</v>
      </c>
      <c r="L891" s="6" t="inlineStr"/>
      <c r="M891" s="7">
        <f>IF(L891&gt;0,(K891-L891)/K891*100,"")</f>
        <v/>
      </c>
    </row>
    <row r="892">
      <c r="A892" s="2" t="n">
        <v>891</v>
      </c>
      <c r="B892" s="2" t="inlineStr">
        <is>
          <t>NOV-0001</t>
        </is>
      </c>
      <c r="C892" s="2" t="inlineStr">
        <is>
          <t>ALMOHADAS VARIADAS OFERTA</t>
        </is>
      </c>
      <c r="D892" s="2" t="inlineStr">
        <is>
          <t>Dormitorio</t>
        </is>
      </c>
      <c r="E892" s="2" t="inlineStr">
        <is>
          <t>Ropa de Cama</t>
        </is>
      </c>
      <c r="F892" s="2" t="inlineStr">
        <is>
          <t>Almohadas y Cojines</t>
        </is>
      </c>
      <c r="G892" s="3" t="n">
        <v>9.9</v>
      </c>
      <c r="H892" s="4" t="n">
        <v>1</v>
      </c>
      <c r="I892" s="2" t="n">
        <v>1</v>
      </c>
      <c r="J892" s="5" t="n">
        <v>46094</v>
      </c>
      <c r="K892" s="3" t="n">
        <v>9.9</v>
      </c>
      <c r="L892" s="6" t="inlineStr"/>
      <c r="M892" s="7">
        <f>IF(L892&gt;0,(K892-L892)/K892*100,"")</f>
        <v/>
      </c>
    </row>
    <row r="893">
      <c r="A893" t="n">
        <v>892</v>
      </c>
      <c r="B893" t="inlineStr">
        <is>
          <t>P47</t>
        </is>
      </c>
      <c r="C893" t="inlineStr">
        <is>
          <t>AUDIFONO VINCHA</t>
        </is>
      </c>
      <c r="D893" t="inlineStr">
        <is>
          <t>Tecnología</t>
        </is>
      </c>
      <c r="E893" t="inlineStr">
        <is>
          <t>Audio</t>
        </is>
      </c>
      <c r="F893" t="inlineStr">
        <is>
          <t>Audífonos</t>
        </is>
      </c>
      <c r="G893" s="8" t="n">
        <v>9.9</v>
      </c>
      <c r="H893" s="9" t="n">
        <v>1</v>
      </c>
      <c r="I893" t="n">
        <v>1</v>
      </c>
      <c r="J893" s="10" t="n">
        <v>46104</v>
      </c>
      <c r="K893" s="8" t="n">
        <v>9.9</v>
      </c>
      <c r="L893" s="6" t="inlineStr"/>
      <c r="M893" s="7">
        <f>IF(L893&gt;0,(K893-L893)/K893*100,"")</f>
        <v/>
      </c>
    </row>
    <row r="894">
      <c r="A894" s="2" t="n">
        <v>893</v>
      </c>
      <c r="B894" s="2" t="inlineStr">
        <is>
          <t>2916E-17/570</t>
        </is>
      </c>
      <c r="C894" s="2" t="inlineStr">
        <is>
          <t>MASCARA EVER BEAUTY 24 H</t>
        </is>
      </c>
      <c r="D894" s="2" t="inlineStr">
        <is>
          <t>Belleza</t>
        </is>
      </c>
      <c r="E894" s="2" t="inlineStr">
        <is>
          <t>Maquillaje y Cosméticos</t>
        </is>
      </c>
      <c r="F894" s="2" t="inlineStr">
        <is>
          <t>Maquillaje Variados</t>
        </is>
      </c>
      <c r="G894" s="3" t="n">
        <v>9.9</v>
      </c>
      <c r="H894" s="4" t="n">
        <v>1</v>
      </c>
      <c r="I894" s="2" t="n">
        <v>1</v>
      </c>
      <c r="J894" s="5" t="n">
        <v>46121</v>
      </c>
      <c r="K894" s="3" t="n">
        <v>9.9</v>
      </c>
      <c r="L894" s="6" t="inlineStr"/>
      <c r="M894" s="7">
        <f>IF(L894&gt;0,(K894-L894)/K894*100,"")</f>
        <v/>
      </c>
    </row>
    <row r="895">
      <c r="A895" t="n">
        <v>894</v>
      </c>
      <c r="B895" t="inlineStr">
        <is>
          <t>RR0460</t>
        </is>
      </c>
      <c r="C895" t="inlineStr">
        <is>
          <t>HOJA BOND COLORES X 100</t>
        </is>
      </c>
      <c r="D895" t="inlineStr">
        <is>
          <t>Librería y Oficina</t>
        </is>
      </c>
      <c r="E895" t="inlineStr">
        <is>
          <t>Útiles Escolares</t>
        </is>
      </c>
      <c r="F895" t="inlineStr">
        <is>
          <t>Colores y Crayolas</t>
        </is>
      </c>
      <c r="G895" s="8" t="n">
        <v>9.800000000000001</v>
      </c>
      <c r="H895" s="9" t="n">
        <v>2</v>
      </c>
      <c r="I895" t="n">
        <v>2</v>
      </c>
      <c r="J895" s="10" t="n">
        <v>46089</v>
      </c>
      <c r="K895" s="8" t="n">
        <v>4.9</v>
      </c>
      <c r="L895" s="6" t="inlineStr"/>
      <c r="M895" s="7">
        <f>IF(L895&gt;0,(K895-L895)/K895*100,"")</f>
        <v/>
      </c>
    </row>
    <row r="896">
      <c r="A896" s="2" t="n">
        <v>895</v>
      </c>
      <c r="B896" s="2" t="inlineStr">
        <is>
          <t>B1672</t>
        </is>
      </c>
      <c r="C896" s="2" t="inlineStr">
        <is>
          <t>PARAGUAS BASTON</t>
        </is>
      </c>
      <c r="D896" s="2" t="inlineStr">
        <is>
          <t>Accesorios</t>
        </is>
      </c>
      <c r="E896" s="2" t="inlineStr">
        <is>
          <t>Accesorios Mujer</t>
        </is>
      </c>
      <c r="F896" s="2" t="inlineStr">
        <is>
          <t>Paraguas</t>
        </is>
      </c>
      <c r="G896" s="3" t="n">
        <v>9.5</v>
      </c>
      <c r="H896" s="4" t="n">
        <v>1</v>
      </c>
      <c r="I896" s="2" t="n">
        <v>1</v>
      </c>
      <c r="J896" s="5" t="n">
        <v>46090</v>
      </c>
      <c r="K896" s="3" t="n">
        <v>9.5</v>
      </c>
      <c r="L896" s="6" t="inlineStr"/>
      <c r="M896" s="7">
        <f>IF(L896&gt;0,(K896-L896)/K896*100,"")</f>
        <v/>
      </c>
    </row>
    <row r="897">
      <c r="A897" t="n">
        <v>896</v>
      </c>
      <c r="B897" t="inlineStr">
        <is>
          <t>F-582#2</t>
        </is>
      </c>
      <c r="C897" t="inlineStr">
        <is>
          <t>PELUCHE VACA 2</t>
        </is>
      </c>
      <c r="D897" t="inlineStr">
        <is>
          <t>Tendencias Kawaii</t>
        </is>
      </c>
      <c r="E897" t="inlineStr">
        <is>
          <t>Peluches</t>
        </is>
      </c>
      <c r="F897" t="inlineStr">
        <is>
          <t>Peluches Kawaii</t>
        </is>
      </c>
      <c r="G897" s="8" t="n">
        <v>9.199999999999999</v>
      </c>
      <c r="H897" s="9" t="n">
        <v>1</v>
      </c>
      <c r="I897" t="n">
        <v>1</v>
      </c>
      <c r="J897" s="10" t="n">
        <v>46106</v>
      </c>
      <c r="K897" s="8" t="n">
        <v>9.199999999999999</v>
      </c>
      <c r="L897" s="6" t="inlineStr"/>
      <c r="M897" s="7">
        <f>IF(L897&gt;0,(K897-L897)/K897*100,"")</f>
        <v/>
      </c>
    </row>
    <row r="898">
      <c r="A898" s="2" t="n">
        <v>897</v>
      </c>
      <c r="B898" s="2" t="inlineStr">
        <is>
          <t>2000450043</t>
        </is>
      </c>
      <c r="C898" s="2" t="inlineStr">
        <is>
          <t>CRAYONES DELGADOS PEQUEÑOS LAYCONSA</t>
        </is>
      </c>
      <c r="D898" s="2" t="inlineStr">
        <is>
          <t>Librería y Oficina</t>
        </is>
      </c>
      <c r="E898" s="2" t="inlineStr">
        <is>
          <t>Útiles Escolares</t>
        </is>
      </c>
      <c r="F898" s="2" t="inlineStr">
        <is>
          <t>Colores y Crayolas</t>
        </is>
      </c>
      <c r="G898" s="3" t="n">
        <v>9.1</v>
      </c>
      <c r="H898" s="4" t="n">
        <v>7</v>
      </c>
      <c r="I898" s="2" t="n">
        <v>3</v>
      </c>
      <c r="J898" s="5" t="n">
        <v>46102</v>
      </c>
      <c r="K898" s="3" t="n">
        <v>1.3</v>
      </c>
      <c r="L898" s="6" t="inlineStr"/>
      <c r="M898" s="7">
        <f>IF(L898&gt;0,(K898-L898)/K898*100,"")</f>
        <v/>
      </c>
    </row>
    <row r="899">
      <c r="A899" t="n">
        <v>898</v>
      </c>
      <c r="B899" t="inlineStr">
        <is>
          <t>LA-120366</t>
        </is>
      </c>
      <c r="C899" t="inlineStr">
        <is>
          <t>PLATO LOZA AGARRADERA</t>
        </is>
      </c>
      <c r="D899" t="inlineStr">
        <is>
          <t>Hogar y Decoración</t>
        </is>
      </c>
      <c r="E899" t="inlineStr">
        <is>
          <t>Menaje de Comedor</t>
        </is>
      </c>
      <c r="F899" t="inlineStr">
        <is>
          <t>Platos y Fuentes</t>
        </is>
      </c>
      <c r="G899" s="8" t="n">
        <v>8.5</v>
      </c>
      <c r="H899" s="9" t="n">
        <v>1</v>
      </c>
      <c r="I899" t="n">
        <v>1</v>
      </c>
      <c r="J899" s="10" t="n">
        <v>46089</v>
      </c>
      <c r="K899" s="8" t="n">
        <v>8.5</v>
      </c>
      <c r="L899" s="6" t="inlineStr"/>
      <c r="M899" s="7">
        <f>IF(L899&gt;0,(K899-L899)/K899*100,"")</f>
        <v/>
      </c>
    </row>
    <row r="900">
      <c r="A900" s="2" t="n">
        <v>899</v>
      </c>
      <c r="B900" s="2" t="inlineStr">
        <is>
          <t>LIMK-006</t>
        </is>
      </c>
      <c r="C900" s="2" t="inlineStr">
        <is>
          <t>LIMPIATODO ANTIBACTERIAL AROMATIZADO PET GALON</t>
        </is>
      </c>
      <c r="D900" s="2" t="inlineStr">
        <is>
          <t>Limpieza</t>
        </is>
      </c>
      <c r="E900" s="2" t="inlineStr">
        <is>
          <t>Limpiadores Específicos</t>
        </is>
      </c>
      <c r="F900" s="2" t="inlineStr">
        <is>
          <t>Limpiadores Multiuso</t>
        </is>
      </c>
      <c r="G900" s="3" t="n">
        <v>8.5</v>
      </c>
      <c r="H900" s="4" t="n">
        <v>1</v>
      </c>
      <c r="I900" s="2" t="n">
        <v>1</v>
      </c>
      <c r="J900" s="5" t="n">
        <v>46099</v>
      </c>
      <c r="K900" s="3" t="n">
        <v>8.5</v>
      </c>
      <c r="L900" s="6" t="inlineStr"/>
      <c r="M900" s="7">
        <f>IF(L900&gt;0,(K900-L900)/K900*100,"")</f>
        <v/>
      </c>
    </row>
    <row r="901">
      <c r="A901" t="n">
        <v>900</v>
      </c>
      <c r="B901" t="inlineStr">
        <is>
          <t>270827</t>
        </is>
      </c>
      <c r="C901" t="inlineStr">
        <is>
          <t>SKY TIE DYE BODY SPRAY 150ML</t>
        </is>
      </c>
      <c r="D901" t="inlineStr">
        <is>
          <t>Belleza</t>
        </is>
      </c>
      <c r="E901" t="inlineStr">
        <is>
          <t>Perfumes y Fragancias</t>
        </is>
      </c>
      <c r="F901" t="inlineStr">
        <is>
          <t>Splashes y Colonias Corporales</t>
        </is>
      </c>
      <c r="G901" s="8" t="n">
        <v>8.5</v>
      </c>
      <c r="H901" s="9" t="n">
        <v>1</v>
      </c>
      <c r="I901" t="n">
        <v>1</v>
      </c>
      <c r="J901" s="10" t="n">
        <v>46096</v>
      </c>
      <c r="K901" s="8" t="n">
        <v>8.5</v>
      </c>
      <c r="L901" s="6" t="inlineStr"/>
      <c r="M901" s="7">
        <f>IF(L901&gt;0,(K901-L901)/K901*100,"")</f>
        <v/>
      </c>
    </row>
    <row r="902">
      <c r="A902" s="2" t="n">
        <v>901</v>
      </c>
      <c r="B902" s="2" t="inlineStr">
        <is>
          <t>320004</t>
        </is>
      </c>
      <c r="C902" s="2" t="inlineStr">
        <is>
          <t>ADORNO PLANTA</t>
        </is>
      </c>
      <c r="D902" s="2" t="inlineStr">
        <is>
          <t>Hogar y Decoración</t>
        </is>
      </c>
      <c r="E902" s="2" t="inlineStr">
        <is>
          <t>Decoración</t>
        </is>
      </c>
      <c r="F902" s="2" t="inlineStr">
        <is>
          <t>Adornos y Accesorios de Decoración</t>
        </is>
      </c>
      <c r="G902" s="3" t="n">
        <v>8.5</v>
      </c>
      <c r="H902" s="4" t="n">
        <v>1</v>
      </c>
      <c r="I902" s="2" t="n">
        <v>1</v>
      </c>
      <c r="J902" s="5" t="n">
        <v>46089</v>
      </c>
      <c r="K902" s="3" t="n">
        <v>8.5</v>
      </c>
      <c r="L902" s="6" t="inlineStr"/>
      <c r="M902" s="7">
        <f>IF(L902&gt;0,(K902-L902)/K902*100,"")</f>
        <v/>
      </c>
    </row>
    <row r="903">
      <c r="A903" t="n">
        <v>902</v>
      </c>
      <c r="B903" t="inlineStr">
        <is>
          <t>EP-8469</t>
        </is>
      </c>
      <c r="C903" t="inlineStr">
        <is>
          <t>RELOJ PARED</t>
        </is>
      </c>
      <c r="D903" t="inlineStr">
        <is>
          <t>Hogar y Decoración</t>
        </is>
      </c>
      <c r="E903" t="inlineStr">
        <is>
          <t>Decoración</t>
        </is>
      </c>
      <c r="F903" t="inlineStr">
        <is>
          <t>Relojes de Pared</t>
        </is>
      </c>
      <c r="G903" s="8" t="n">
        <v>8.5</v>
      </c>
      <c r="H903" s="9" t="n">
        <v>1</v>
      </c>
      <c r="I903" t="n">
        <v>1</v>
      </c>
      <c r="J903" s="10" t="n">
        <v>46090</v>
      </c>
      <c r="K903" s="8" t="n">
        <v>8.5</v>
      </c>
      <c r="L903" s="6" t="inlineStr"/>
      <c r="M903" s="7">
        <f>IF(L903&gt;0,(K903-L903)/K903*100,"")</f>
        <v/>
      </c>
    </row>
    <row r="904">
      <c r="A904" s="2" t="n">
        <v>903</v>
      </c>
      <c r="B904" s="2" t="inlineStr">
        <is>
          <t>RZ603-1111</t>
        </is>
      </c>
      <c r="C904" s="2" t="inlineStr">
        <is>
          <t>JGT MUÑECA + PONNY BLISTER</t>
        </is>
      </c>
      <c r="D904" s="2" t="inlineStr">
        <is>
          <t>Juguetes y Juegos</t>
        </is>
      </c>
      <c r="E904" s="2" t="inlineStr">
        <is>
          <t>Juguetes</t>
        </is>
      </c>
      <c r="F904" s="2" t="inlineStr">
        <is>
          <t>Juguetes Variados</t>
        </is>
      </c>
      <c r="G904" s="3" t="n">
        <v>8.5</v>
      </c>
      <c r="H904" s="4" t="n">
        <v>1</v>
      </c>
      <c r="I904" s="2" t="n">
        <v>1</v>
      </c>
      <c r="J904" s="5" t="n">
        <v>46172</v>
      </c>
      <c r="K904" s="3" t="n">
        <v>8.5</v>
      </c>
      <c r="L904" s="6" t="inlineStr"/>
      <c r="M904" s="7">
        <f>IF(L904&gt;0,(K904-L904)/K904*100,"")</f>
        <v/>
      </c>
    </row>
    <row r="905">
      <c r="A905" t="n">
        <v>904</v>
      </c>
      <c r="B905" t="inlineStr">
        <is>
          <t>77154801074013</t>
        </is>
      </c>
      <c r="C905" t="inlineStr">
        <is>
          <t>cinta x1</t>
        </is>
      </c>
      <c r="D905" t="inlineStr">
        <is>
          <t>Librería y Oficina</t>
        </is>
      </c>
      <c r="E905" t="inlineStr">
        <is>
          <t>Útiles Escolares</t>
        </is>
      </c>
      <c r="F905" t="inlineStr">
        <is>
          <t>Cintas y Contact</t>
        </is>
      </c>
      <c r="G905" s="8" t="n">
        <v>8</v>
      </c>
      <c r="H905" s="9" t="n">
        <v>8</v>
      </c>
      <c r="I905" t="n">
        <v>7</v>
      </c>
      <c r="J905" s="10" t="n">
        <v>46096</v>
      </c>
      <c r="K905" s="8" t="n">
        <v>1</v>
      </c>
      <c r="L905" s="6" t="inlineStr"/>
      <c r="M905" s="7">
        <f>IF(L905&gt;0,(K905-L905)/K905*100,"")</f>
        <v/>
      </c>
    </row>
    <row r="906">
      <c r="A906" s="2" t="n">
        <v>905</v>
      </c>
      <c r="B906" s="2" t="inlineStr">
        <is>
          <t>EMI-2018CT</t>
        </is>
      </c>
      <c r="C906" s="2" t="inlineStr">
        <is>
          <t>JGT CONTROL REMOTO ADAS</t>
        </is>
      </c>
      <c r="D906" s="2" t="inlineStr">
        <is>
          <t>Juguetes y Juegos</t>
        </is>
      </c>
      <c r="E906" s="2" t="inlineStr">
        <is>
          <t>Juguetes</t>
        </is>
      </c>
      <c r="F906" s="2" t="inlineStr">
        <is>
          <t>Juguetes Variados</t>
        </is>
      </c>
      <c r="G906" s="3" t="n">
        <v>7.9</v>
      </c>
      <c r="H906" s="4" t="n">
        <v>1</v>
      </c>
      <c r="I906" s="2" t="n">
        <v>1</v>
      </c>
      <c r="J906" s="5" t="n">
        <v>46114</v>
      </c>
      <c r="K906" s="3" t="n">
        <v>7.9</v>
      </c>
      <c r="L906" s="6" t="inlineStr"/>
      <c r="M906" s="7">
        <f>IF(L906&gt;0,(K906-L906)/K906*100,"")</f>
        <v/>
      </c>
    </row>
    <row r="907">
      <c r="A907" t="n">
        <v>906</v>
      </c>
      <c r="B907" t="inlineStr">
        <is>
          <t>B1698</t>
        </is>
      </c>
      <c r="C907" t="inlineStr">
        <is>
          <t>TAPER DOBLE COMPARTIMIENTO</t>
        </is>
      </c>
      <c r="D907" t="inlineStr">
        <is>
          <t>Hogar y Decoración</t>
        </is>
      </c>
      <c r="E907" t="inlineStr">
        <is>
          <t>Menaje de Cocina</t>
        </is>
      </c>
      <c r="F907" t="inlineStr">
        <is>
          <t>Tapers y Contenedores</t>
        </is>
      </c>
      <c r="G907" s="8" t="n">
        <v>7.5</v>
      </c>
      <c r="H907" s="9" t="n">
        <v>1</v>
      </c>
      <c r="I907" t="n">
        <v>1</v>
      </c>
      <c r="J907" s="10" t="n">
        <v>46089</v>
      </c>
      <c r="K907" s="8" t="n">
        <v>7.5</v>
      </c>
      <c r="L907" s="6" t="inlineStr"/>
      <c r="M907" s="7">
        <f>IF(L907&gt;0,(K907-L907)/K907*100,"")</f>
        <v/>
      </c>
    </row>
    <row r="908">
      <c r="A908" s="2" t="n">
        <v>907</v>
      </c>
      <c r="B908" s="2" t="inlineStr">
        <is>
          <t>74931685136106</t>
        </is>
      </c>
      <c r="C908" s="2" t="inlineStr">
        <is>
          <t>MASKING 3/4 SHURTAPE</t>
        </is>
      </c>
      <c r="D908" s="2" t="inlineStr">
        <is>
          <t>Librería y Oficina</t>
        </is>
      </c>
      <c r="E908" s="2" t="inlineStr">
        <is>
          <t>Útiles Escolares</t>
        </is>
      </c>
      <c r="F908" s="2" t="inlineStr">
        <is>
          <t>Cintas y Contact</t>
        </is>
      </c>
      <c r="G908" s="3" t="n">
        <v>7.41</v>
      </c>
      <c r="H908" s="4" t="n">
        <v>4</v>
      </c>
      <c r="I908" s="2" t="n">
        <v>4</v>
      </c>
      <c r="J908" s="5" t="n">
        <v>46109</v>
      </c>
      <c r="K908" s="3" t="n">
        <v>1.85</v>
      </c>
      <c r="L908" s="6" t="inlineStr"/>
      <c r="M908" s="7">
        <f>IF(L908&gt;0,(K908-L908)/K908*100,"")</f>
        <v/>
      </c>
    </row>
    <row r="909">
      <c r="A909" t="n">
        <v>908</v>
      </c>
      <c r="B909" t="inlineStr">
        <is>
          <t>101</t>
        </is>
      </c>
      <c r="C909" t="inlineStr">
        <is>
          <t>JGT MUÑECA X1 BOLSA</t>
        </is>
      </c>
      <c r="D909" t="inlineStr">
        <is>
          <t>Juguetes y Juegos</t>
        </is>
      </c>
      <c r="E909" t="inlineStr">
        <is>
          <t>Juguetes</t>
        </is>
      </c>
      <c r="F909" t="inlineStr">
        <is>
          <t>Juguetes Variados</t>
        </is>
      </c>
      <c r="G909" s="8" t="n">
        <v>7.2</v>
      </c>
      <c r="H909" s="9" t="n">
        <v>6</v>
      </c>
      <c r="I909" t="n">
        <v>6</v>
      </c>
      <c r="J909" s="10" t="n">
        <v>46105</v>
      </c>
      <c r="K909" s="8" t="n">
        <v>1.2</v>
      </c>
      <c r="L909" s="6" t="inlineStr"/>
      <c r="M909" s="7">
        <f>IF(L909&gt;0,(K909-L909)/K909*100,"")</f>
        <v/>
      </c>
    </row>
    <row r="910">
      <c r="A910" s="2" t="n">
        <v>909</v>
      </c>
      <c r="B910" s="2" t="inlineStr">
        <is>
          <t>75875239716910</t>
        </is>
      </c>
      <c r="C910" s="2" t="inlineStr">
        <is>
          <t>JABON ROSAS FIESTA CITRICA Y ROSAS DEL CAMPO</t>
        </is>
      </c>
      <c r="D910" s="2" t="inlineStr">
        <is>
          <t>Cuidado Personal y Salud</t>
        </is>
      </c>
      <c r="E910" s="2" t="inlineStr">
        <is>
          <t>Higiene Personal</t>
        </is>
      </c>
      <c r="F910" s="2" t="inlineStr">
        <is>
          <t>Jabones Corporales</t>
        </is>
      </c>
      <c r="G910" s="3" t="n">
        <v>7</v>
      </c>
      <c r="H910" s="4" t="n">
        <v>2</v>
      </c>
      <c r="I910" s="2" t="n">
        <v>1</v>
      </c>
      <c r="J910" s="5" t="n">
        <v>46150</v>
      </c>
      <c r="K910" s="3" t="n">
        <v>3.5</v>
      </c>
      <c r="L910" s="6" t="inlineStr"/>
      <c r="M910" s="7">
        <f>IF(L910&gt;0,(K910-L910)/K910*100,"")</f>
        <v/>
      </c>
    </row>
    <row r="911">
      <c r="A911" t="n">
        <v>910</v>
      </c>
      <c r="B911" t="inlineStr">
        <is>
          <t>MQS-022</t>
        </is>
      </c>
      <c r="C911" t="inlineStr">
        <is>
          <t>JGT MAQUILLAJE UNICORNIO</t>
        </is>
      </c>
      <c r="D911" t="inlineStr">
        <is>
          <t>Juguetes y Juegos</t>
        </is>
      </c>
      <c r="E911" t="inlineStr">
        <is>
          <t>Juguetes</t>
        </is>
      </c>
      <c r="F911" t="inlineStr">
        <is>
          <t>Juguetes Variados</t>
        </is>
      </c>
      <c r="G911" s="8" t="n">
        <v>6.8</v>
      </c>
      <c r="H911" s="9" t="n">
        <v>1</v>
      </c>
      <c r="I911" t="n">
        <v>1</v>
      </c>
      <c r="J911" s="10" t="n">
        <v>46094</v>
      </c>
      <c r="K911" s="8" t="n">
        <v>6.8</v>
      </c>
      <c r="L911" s="6" t="inlineStr"/>
      <c r="M911" s="7">
        <f>IF(L911&gt;0,(K911-L911)/K911*100,"")</f>
        <v/>
      </c>
    </row>
    <row r="912">
      <c r="A912" s="2" t="n">
        <v>911</v>
      </c>
      <c r="B912" s="2" t="inlineStr">
        <is>
          <t>AGB-70-A</t>
        </is>
      </c>
      <c r="C912" s="2" t="inlineStr">
        <is>
          <t>CORRECTOR LIQUIDO GOLDEN</t>
        </is>
      </c>
      <c r="D912" s="2" t="inlineStr">
        <is>
          <t>Belleza</t>
        </is>
      </c>
      <c r="E912" s="2" t="inlineStr">
        <is>
          <t>Maquillaje y Cosméticos</t>
        </is>
      </c>
      <c r="F912" s="2" t="inlineStr">
        <is>
          <t>Base y Correctores</t>
        </is>
      </c>
      <c r="G912" s="3" t="n">
        <v>6.5</v>
      </c>
      <c r="H912" s="4" t="n">
        <v>1</v>
      </c>
      <c r="I912" s="2" t="n">
        <v>1</v>
      </c>
      <c r="J912" s="5" t="n">
        <v>46103</v>
      </c>
      <c r="K912" s="3" t="n">
        <v>6.5</v>
      </c>
      <c r="L912" s="6" t="inlineStr"/>
      <c r="M912" s="7">
        <f>IF(L912&gt;0,(K912-L912)/K912*100,"")</f>
        <v/>
      </c>
    </row>
    <row r="913">
      <c r="A913" t="n">
        <v>912</v>
      </c>
      <c r="B913" t="inlineStr">
        <is>
          <t>AGL-103</t>
        </is>
      </c>
      <c r="C913" t="inlineStr">
        <is>
          <t>LABIAL SEXY COLOR</t>
        </is>
      </c>
      <c r="D913" t="inlineStr">
        <is>
          <t>Belleza</t>
        </is>
      </c>
      <c r="E913" t="inlineStr">
        <is>
          <t>Maquillaje y Cosméticos</t>
        </is>
      </c>
      <c r="F913" t="inlineStr">
        <is>
          <t>Labial</t>
        </is>
      </c>
      <c r="G913" s="8" t="n">
        <v>6.5</v>
      </c>
      <c r="H913" s="9" t="n">
        <v>1</v>
      </c>
      <c r="I913" t="n">
        <v>1</v>
      </c>
      <c r="J913" s="10" t="n">
        <v>46095</v>
      </c>
      <c r="K913" s="8" t="n">
        <v>6.5</v>
      </c>
      <c r="L913" s="6" t="inlineStr"/>
      <c r="M913" s="7">
        <f>IF(L913&gt;0,(K913-L913)/K913*100,"")</f>
        <v/>
      </c>
    </row>
    <row r="914">
      <c r="A914" s="2" t="n">
        <v>913</v>
      </c>
      <c r="B914" s="2" t="inlineStr">
        <is>
          <t>CK-30008</t>
        </is>
      </c>
      <c r="C914" s="2" t="inlineStr">
        <is>
          <t>FLORES EN CAJA</t>
        </is>
      </c>
      <c r="D914" s="2" t="inlineStr">
        <is>
          <t>Hogar y Decoración</t>
        </is>
      </c>
      <c r="E914" s="2" t="inlineStr">
        <is>
          <t>Decoración</t>
        </is>
      </c>
      <c r="F914" s="2" t="inlineStr">
        <is>
          <t>Flores y Floreros</t>
        </is>
      </c>
      <c r="G914" s="3" t="n">
        <v>6.5</v>
      </c>
      <c r="H914" s="4" t="n">
        <v>1</v>
      </c>
      <c r="I914" s="2" t="n">
        <v>1</v>
      </c>
      <c r="J914" s="5" t="n">
        <v>46092</v>
      </c>
      <c r="K914" s="3" t="n">
        <v>6.5</v>
      </c>
      <c r="L914" s="6" t="inlineStr"/>
      <c r="M914" s="7">
        <f>IF(L914&gt;0,(K914-L914)/K914*100,"")</f>
        <v/>
      </c>
    </row>
    <row r="915">
      <c r="A915" t="n">
        <v>914</v>
      </c>
      <c r="B915" t="inlineStr">
        <is>
          <t>BS/KB-290</t>
        </is>
      </c>
      <c r="C915" t="inlineStr">
        <is>
          <t>BALSAMO LABIOS EN BARRA P&amp;W</t>
        </is>
      </c>
      <c r="D915" t="inlineStr">
        <is>
          <t>Belleza</t>
        </is>
      </c>
      <c r="E915" t="inlineStr">
        <is>
          <t>Maquillaje y Cosméticos</t>
        </is>
      </c>
      <c r="F915" t="inlineStr">
        <is>
          <t>Labial Balsamo</t>
        </is>
      </c>
      <c r="G915" s="8" t="n">
        <v>5.9</v>
      </c>
      <c r="H915" s="9" t="n">
        <v>1</v>
      </c>
      <c r="I915" t="n">
        <v>1</v>
      </c>
      <c r="J915" s="10" t="n">
        <v>46118</v>
      </c>
      <c r="K915" s="8" t="n">
        <v>5.9</v>
      </c>
      <c r="L915" s="6" t="inlineStr"/>
      <c r="M915" s="7">
        <f>IF(L915&gt;0,(K915-L915)/K915*100,"")</f>
        <v/>
      </c>
    </row>
    <row r="916">
      <c r="A916" s="2" t="n">
        <v>915</v>
      </c>
      <c r="B916" s="2" t="inlineStr">
        <is>
          <t>PL-15</t>
        </is>
      </c>
      <c r="C916" s="2" t="inlineStr">
        <is>
          <t>PORTACUBIERTO PLANO COLORES SÓLIDOS C/TAPA</t>
        </is>
      </c>
      <c r="D916" s="2" t="inlineStr">
        <is>
          <t>Hogar y Decoración</t>
        </is>
      </c>
      <c r="E916" s="2" t="inlineStr">
        <is>
          <t>Menaje de Comedor</t>
        </is>
      </c>
      <c r="F916" s="2" t="inlineStr">
        <is>
          <t>Accesorios de Mesa</t>
        </is>
      </c>
      <c r="G916" s="3" t="n">
        <v>5.9</v>
      </c>
      <c r="H916" s="4" t="n">
        <v>1</v>
      </c>
      <c r="I916" s="2" t="n">
        <v>1</v>
      </c>
      <c r="J916" s="5" t="n">
        <v>46089</v>
      </c>
      <c r="K916" s="3" t="n">
        <v>5.9</v>
      </c>
      <c r="L916" s="6" t="inlineStr"/>
      <c r="M916" s="7">
        <f>IF(L916&gt;0,(K916-L916)/K916*100,"")</f>
        <v/>
      </c>
    </row>
    <row r="917">
      <c r="A917" t="n">
        <v>916</v>
      </c>
      <c r="B917" t="inlineStr">
        <is>
          <t>ESC-25</t>
        </is>
      </c>
      <c r="C917" t="inlineStr">
        <is>
          <t>CRAYOLA MARCA CRAYOLA 12 COLORES</t>
        </is>
      </c>
      <c r="D917" t="inlineStr">
        <is>
          <t>Librería y Oficina</t>
        </is>
      </c>
      <c r="E917" t="inlineStr">
        <is>
          <t>Útiles Escolares</t>
        </is>
      </c>
      <c r="F917" t="inlineStr">
        <is>
          <t>Colores y Crayolas</t>
        </is>
      </c>
      <c r="G917" s="8" t="n">
        <v>5.88</v>
      </c>
      <c r="H917" s="9" t="n">
        <v>5</v>
      </c>
      <c r="I917" t="n">
        <v>5</v>
      </c>
      <c r="J917" s="10" t="n">
        <v>46114</v>
      </c>
      <c r="K917" s="8" t="n">
        <v>1.18</v>
      </c>
      <c r="L917" s="6" t="inlineStr"/>
      <c r="M917" s="7">
        <f>IF(L917&gt;0,(K917-L917)/K917*100,"")</f>
        <v/>
      </c>
    </row>
    <row r="918">
      <c r="A918" s="2" t="n">
        <v>917</v>
      </c>
      <c r="B918" s="2" t="inlineStr">
        <is>
          <t>AGL-360</t>
        </is>
      </c>
      <c r="C918" s="2" t="inlineStr">
        <is>
          <t>BRILLO ROLL ON LUCKY</t>
        </is>
      </c>
      <c r="D918" s="2" t="inlineStr">
        <is>
          <t>Belleza</t>
        </is>
      </c>
      <c r="E918" s="2" t="inlineStr">
        <is>
          <t>Maquillaje y Cosméticos</t>
        </is>
      </c>
      <c r="F918" s="2" t="inlineStr">
        <is>
          <t>Labial Gloss</t>
        </is>
      </c>
      <c r="G918" s="3" t="n">
        <v>5.8</v>
      </c>
      <c r="H918" s="4" t="n">
        <v>2</v>
      </c>
      <c r="I918" s="2" t="n">
        <v>2</v>
      </c>
      <c r="J918" s="5" t="n">
        <v>46090</v>
      </c>
      <c r="K918" s="3" t="n">
        <v>2.9</v>
      </c>
      <c r="L918" s="6" t="inlineStr"/>
      <c r="M918" s="7">
        <f>IF(L918&gt;0,(K918-L918)/K918*100,"")</f>
        <v/>
      </c>
    </row>
    <row r="919">
      <c r="A919" t="n">
        <v>918</v>
      </c>
      <c r="B919" t="inlineStr">
        <is>
          <t>349-152</t>
        </is>
      </c>
      <c r="C919" t="inlineStr">
        <is>
          <t>JGT CARRITO TOYS DEPORT</t>
        </is>
      </c>
      <c r="D919" t="inlineStr">
        <is>
          <t>Juguetes y Juegos</t>
        </is>
      </c>
      <c r="E919" t="inlineStr">
        <is>
          <t>Juguetes</t>
        </is>
      </c>
      <c r="F919" t="inlineStr">
        <is>
          <t>Juguetes Variados</t>
        </is>
      </c>
      <c r="G919" s="8" t="n">
        <v>5.7</v>
      </c>
      <c r="H919" s="9" t="n">
        <v>3</v>
      </c>
      <c r="I919" t="n">
        <v>3</v>
      </c>
      <c r="J919" s="10" t="n">
        <v>46115</v>
      </c>
      <c r="K919" s="8" t="n">
        <v>1.9</v>
      </c>
      <c r="L919" s="6" t="inlineStr"/>
      <c r="M919" s="7">
        <f>IF(L919&gt;0,(K919-L919)/K919*100,"")</f>
        <v/>
      </c>
    </row>
    <row r="920">
      <c r="A920" s="2" t="n">
        <v>919</v>
      </c>
      <c r="B920" s="2" t="inlineStr">
        <is>
          <t>2910PN</t>
        </is>
      </c>
      <c r="C920" s="2" t="inlineStr">
        <is>
          <t>JGT AK-47 BOLSA RQY</t>
        </is>
      </c>
      <c r="D920" s="2" t="inlineStr">
        <is>
          <t>Juguetes y Juegos</t>
        </is>
      </c>
      <c r="E920" s="2" t="inlineStr">
        <is>
          <t>Juguetes</t>
        </is>
      </c>
      <c r="F920" s="2" t="inlineStr">
        <is>
          <t>Juguetes Variados</t>
        </is>
      </c>
      <c r="G920" s="3" t="n">
        <v>5.7</v>
      </c>
      <c r="H920" s="4" t="n">
        <v>3</v>
      </c>
      <c r="I920" s="2" t="n">
        <v>3</v>
      </c>
      <c r="J920" s="5" t="n">
        <v>46143</v>
      </c>
      <c r="K920" s="3" t="n">
        <v>1.9</v>
      </c>
      <c r="L920" s="6" t="inlineStr"/>
      <c r="M920" s="7">
        <f>IF(L920&gt;0,(K920-L920)/K920*100,"")</f>
        <v/>
      </c>
    </row>
    <row r="921">
      <c r="A921" t="n">
        <v>920</v>
      </c>
      <c r="B921" t="inlineStr">
        <is>
          <t>74931686731139</t>
        </is>
      </c>
      <c r="C921" t="inlineStr">
        <is>
          <t>RALLADOR COCINA</t>
        </is>
      </c>
      <c r="D921" t="inlineStr">
        <is>
          <t>Hogar y Decoración</t>
        </is>
      </c>
      <c r="E921" t="inlineStr">
        <is>
          <t>Menaje de Cocina</t>
        </is>
      </c>
      <c r="F921" t="inlineStr">
        <is>
          <t>Utensilios de Cocina</t>
        </is>
      </c>
      <c r="G921" s="8" t="n">
        <v>5.6</v>
      </c>
      <c r="H921" s="9" t="n">
        <v>1</v>
      </c>
      <c r="I921" t="n">
        <v>1</v>
      </c>
      <c r="J921" s="10" t="n">
        <v>46146</v>
      </c>
      <c r="K921" s="8" t="n">
        <v>5.6</v>
      </c>
      <c r="L921" s="6" t="inlineStr"/>
      <c r="M921" s="7">
        <f>IF(L921&gt;0,(K921-L921)/K921*100,"")</f>
        <v/>
      </c>
    </row>
    <row r="922">
      <c r="A922" s="2" t="n">
        <v>921</v>
      </c>
      <c r="B922" s="2" t="inlineStr">
        <is>
          <t>76566446042478</t>
        </is>
      </c>
      <c r="C922" s="2" t="inlineStr">
        <is>
          <t>PAPEL DE REGALO NAVIDAD</t>
        </is>
      </c>
      <c r="D922" s="2" t="inlineStr">
        <is>
          <t>Temporada y Celebraciones</t>
        </is>
      </c>
      <c r="E922" s="2" t="inlineStr">
        <is>
          <t>Navidad</t>
        </is>
      </c>
      <c r="F922" s="2" t="inlineStr">
        <is>
          <t>Decoración Navideña</t>
        </is>
      </c>
      <c r="G922" s="3" t="n">
        <v>5.6</v>
      </c>
      <c r="H922" s="4" t="n">
        <v>6</v>
      </c>
      <c r="I922" s="2" t="n">
        <v>3</v>
      </c>
      <c r="J922" s="5" t="n">
        <v>46157</v>
      </c>
      <c r="K922" s="3" t="n">
        <v>0.93</v>
      </c>
      <c r="L922" s="6" t="inlineStr"/>
      <c r="M922" s="7">
        <f>IF(L922&gt;0,(K922-L922)/K922*100,"")</f>
        <v/>
      </c>
    </row>
    <row r="923">
      <c r="A923" t="n">
        <v>922</v>
      </c>
      <c r="B923" t="inlineStr">
        <is>
          <t>LKWL-01</t>
        </is>
      </c>
      <c r="C923" t="inlineStr">
        <is>
          <t>LIMPIA TODO PEQUEÑO</t>
        </is>
      </c>
      <c r="D923" t="inlineStr">
        <is>
          <t>Limpieza</t>
        </is>
      </c>
      <c r="E923" t="inlineStr">
        <is>
          <t>Limpiadores Específicos</t>
        </is>
      </c>
      <c r="F923" t="inlineStr">
        <is>
          <t>Limpiadores Multiuso</t>
        </is>
      </c>
      <c r="G923" s="8" t="n">
        <v>5</v>
      </c>
      <c r="H923" s="9" t="n">
        <v>5</v>
      </c>
      <c r="I923" t="n">
        <v>4</v>
      </c>
      <c r="J923" s="10" t="n">
        <v>46117</v>
      </c>
      <c r="K923" s="8" t="n">
        <v>1</v>
      </c>
      <c r="L923" s="6" t="inlineStr"/>
      <c r="M923" s="7">
        <f>IF(L923&gt;0,(K923-L923)/K923*100,"")</f>
        <v/>
      </c>
    </row>
    <row r="924">
      <c r="A924" s="2" t="n">
        <v>923</v>
      </c>
      <c r="B924" s="2" t="inlineStr">
        <is>
          <t>75961067470873</t>
        </is>
      </c>
      <c r="C924" s="2" t="inlineStr">
        <is>
          <t>Masmelos Trululu Snaks Surtido 12x50gr</t>
        </is>
      </c>
      <c r="D924" s="2" t="inlineStr">
        <is>
          <t>Abarrotes</t>
        </is>
      </c>
      <c r="E924" s="2" t="inlineStr">
        <is>
          <t>Dulces y Chocolates</t>
        </is>
      </c>
      <c r="F924" s="2" t="inlineStr">
        <is>
          <t>Marshmallows</t>
        </is>
      </c>
      <c r="G924" s="3" t="n">
        <v>5</v>
      </c>
      <c r="H924" s="4" t="n">
        <v>2</v>
      </c>
      <c r="I924" s="2" t="n">
        <v>2</v>
      </c>
      <c r="J924" s="5" t="n">
        <v>46106</v>
      </c>
      <c r="K924" s="3" t="n">
        <v>2.5</v>
      </c>
      <c r="L924" s="6" t="inlineStr"/>
      <c r="M924" s="7">
        <f>IF(L924&gt;0,(K924-L924)/K924*100,"")</f>
        <v/>
      </c>
    </row>
    <row r="925">
      <c r="A925" t="n">
        <v>924</v>
      </c>
      <c r="B925" t="inlineStr">
        <is>
          <t>250092616</t>
        </is>
      </c>
      <c r="C925" t="inlineStr">
        <is>
          <t>Cuaderno De Luxe Collegue Bakan A4 80H Cuadriculado</t>
        </is>
      </c>
      <c r="D925" t="inlineStr">
        <is>
          <t>Librería y Oficina</t>
        </is>
      </c>
      <c r="E925" t="inlineStr">
        <is>
          <t>Útiles Escolares</t>
        </is>
      </c>
      <c r="F925" t="inlineStr">
        <is>
          <t>Cuadernos y Blocks</t>
        </is>
      </c>
      <c r="G925" s="8" t="n">
        <v>4.9</v>
      </c>
      <c r="H925" s="9" t="n">
        <v>1</v>
      </c>
      <c r="I925" t="n">
        <v>1</v>
      </c>
      <c r="J925" s="10" t="n">
        <v>46175</v>
      </c>
      <c r="K925" s="8" t="n">
        <v>4.9</v>
      </c>
      <c r="L925" s="6" t="inlineStr"/>
      <c r="M925" s="7">
        <f>IF(L925&gt;0,(K925-L925)/K925*100,"")</f>
        <v/>
      </c>
    </row>
    <row r="926">
      <c r="A926" s="2" t="n">
        <v>925</v>
      </c>
      <c r="B926" s="2" t="inlineStr">
        <is>
          <t>77204702129730</t>
        </is>
      </c>
      <c r="C926" s="2" t="inlineStr">
        <is>
          <t>GALLETA RELLANA SABOR ORIGINAL HOGNYI</t>
        </is>
      </c>
      <c r="D926" s="2" t="inlineStr">
        <is>
          <t>Alimentos y Bebidas Importadas</t>
        </is>
      </c>
      <c r="E926" s="2" t="inlineStr">
        <is>
          <t>Snacks y Dulces Asiáticos</t>
        </is>
      </c>
      <c r="F926" s="2" t="inlineStr">
        <is>
          <t>Galletas y Bocaditos Dulces</t>
        </is>
      </c>
      <c r="G926" s="3" t="n">
        <v>4.4</v>
      </c>
      <c r="H926" s="4" t="n">
        <v>2</v>
      </c>
      <c r="I926" s="2" t="n">
        <v>1</v>
      </c>
      <c r="J926" s="5" t="n">
        <v>46089</v>
      </c>
      <c r="K926" s="3" t="n">
        <v>2.2</v>
      </c>
      <c r="L926" s="6" t="inlineStr"/>
      <c r="M926" s="7">
        <f>IF(L926&gt;0,(K926-L926)/K926*100,"")</f>
        <v/>
      </c>
    </row>
    <row r="927">
      <c r="A927" t="n">
        <v>926</v>
      </c>
      <c r="B927" t="inlineStr">
        <is>
          <t>1058</t>
        </is>
      </c>
      <c r="C927" t="inlineStr">
        <is>
          <t>LAPIZ BLACK MATTE ITALIA P/OJOS ITALIA 24 HORAS</t>
        </is>
      </c>
      <c r="D927" t="inlineStr">
        <is>
          <t>Belleza</t>
        </is>
      </c>
      <c r="E927" t="inlineStr">
        <is>
          <t>Maquillaje y Cosméticos</t>
        </is>
      </c>
      <c r="F927" t="inlineStr">
        <is>
          <t>Maquillaje Variados</t>
        </is>
      </c>
      <c r="G927" s="8" t="n">
        <v>4.4</v>
      </c>
      <c r="H927" s="9" t="n">
        <v>2</v>
      </c>
      <c r="I927" t="n">
        <v>2</v>
      </c>
      <c r="J927" s="10" t="n">
        <v>46097</v>
      </c>
      <c r="K927" s="8" t="n">
        <v>2.2</v>
      </c>
      <c r="L927" s="6" t="inlineStr"/>
      <c r="M927" s="7">
        <f>IF(L927&gt;0,(K927-L927)/K927*100,"")</f>
        <v/>
      </c>
    </row>
    <row r="928">
      <c r="A928" s="2" t="n">
        <v>927</v>
      </c>
      <c r="B928" s="2" t="inlineStr">
        <is>
          <t>H-MN261</t>
        </is>
      </c>
      <c r="C928" s="2" t="inlineStr">
        <is>
          <t>PISO BLANCO PEGABLE</t>
        </is>
      </c>
      <c r="D928" s="2" t="inlineStr">
        <is>
          <t>Muebles</t>
        </is>
      </c>
      <c r="E928" s="2" t="inlineStr">
        <is>
          <t>Infantil</t>
        </is>
      </c>
      <c r="F928" s="2" t="inlineStr">
        <is>
          <t>Muebles Infantiles</t>
        </is>
      </c>
      <c r="G928" s="3" t="n">
        <v>4.2</v>
      </c>
      <c r="H928" s="4" t="n">
        <v>1</v>
      </c>
      <c r="I928" s="2" t="n">
        <v>1</v>
      </c>
      <c r="J928" s="5" t="n">
        <v>46098</v>
      </c>
      <c r="K928" s="3" t="n">
        <v>4.2</v>
      </c>
      <c r="L928" s="6" t="inlineStr"/>
      <c r="M928" s="7">
        <f>IF(L928&gt;0,(K928-L928)/K928*100,"")</f>
        <v/>
      </c>
    </row>
    <row r="929">
      <c r="A929" t="n">
        <v>928</v>
      </c>
      <c r="B929" t="inlineStr">
        <is>
          <t>ESC-16</t>
        </is>
      </c>
      <c r="C929" t="inlineStr">
        <is>
          <t>TAPER CARTUCHERA COLORES</t>
        </is>
      </c>
      <c r="D929" t="inlineStr">
        <is>
          <t>Librería y Oficina</t>
        </is>
      </c>
      <c r="E929" t="inlineStr">
        <is>
          <t>Mochilas y Cartucheras</t>
        </is>
      </c>
      <c r="F929" t="inlineStr">
        <is>
          <t>Cartucheras</t>
        </is>
      </c>
      <c r="G929" s="8" t="n">
        <v>4.2</v>
      </c>
      <c r="H929" s="9" t="n">
        <v>1</v>
      </c>
      <c r="I929" t="n">
        <v>1</v>
      </c>
      <c r="J929" s="10" t="n">
        <v>46089</v>
      </c>
      <c r="K929" s="8" t="n">
        <v>4.2</v>
      </c>
      <c r="L929" s="6" t="inlineStr"/>
      <c r="M929" s="7">
        <f>IF(L929&gt;0,(K929-L929)/K929*100,"")</f>
        <v/>
      </c>
    </row>
    <row r="930">
      <c r="A930" s="2" t="n">
        <v>929</v>
      </c>
      <c r="B930" s="2" t="inlineStr">
        <is>
          <t>RR1038</t>
        </is>
      </c>
      <c r="C930" s="2" t="inlineStr">
        <is>
          <t>AZUCARERO VIDRIO</t>
        </is>
      </c>
      <c r="D930" s="2" t="inlineStr">
        <is>
          <t>Hogar y Decoración</t>
        </is>
      </c>
      <c r="E930" s="2" t="inlineStr">
        <is>
          <t>Menaje de Comedor</t>
        </is>
      </c>
      <c r="F930" s="2" t="inlineStr">
        <is>
          <t>Accesorios de Mesa</t>
        </is>
      </c>
      <c r="G930" s="3" t="n">
        <v>4</v>
      </c>
      <c r="H930" s="4" t="n">
        <v>1</v>
      </c>
      <c r="I930" s="2" t="n">
        <v>1</v>
      </c>
      <c r="J930" s="5" t="n">
        <v>46116</v>
      </c>
      <c r="K930" s="3" t="n">
        <v>4</v>
      </c>
      <c r="L930" s="6" t="inlineStr"/>
      <c r="M930" s="7">
        <f>IF(L930&gt;0,(K930-L930)/K930*100,"")</f>
        <v/>
      </c>
    </row>
    <row r="931">
      <c r="A931" t="n">
        <v>930</v>
      </c>
      <c r="B931" t="inlineStr">
        <is>
          <t>P0120</t>
        </is>
      </c>
      <c r="C931" t="inlineStr">
        <is>
          <t>PAPEL LUSTRE BOOK A4</t>
        </is>
      </c>
      <c r="D931" t="inlineStr">
        <is>
          <t>Librería y Oficina</t>
        </is>
      </c>
      <c r="E931" t="inlineStr">
        <is>
          <t>Útiles Escolares</t>
        </is>
      </c>
      <c r="F931" t="inlineStr">
        <is>
          <t>Papeles y Cartulinas</t>
        </is>
      </c>
      <c r="G931" s="8" t="n">
        <v>3.9</v>
      </c>
      <c r="H931" s="9" t="n">
        <v>1</v>
      </c>
      <c r="I931" t="n">
        <v>1</v>
      </c>
      <c r="J931" s="10" t="n">
        <v>46106</v>
      </c>
      <c r="K931" s="8" t="n">
        <v>3.9</v>
      </c>
      <c r="L931" s="6" t="inlineStr"/>
      <c r="M931" s="7">
        <f>IF(L931&gt;0,(K931-L931)/K931*100,"")</f>
        <v/>
      </c>
    </row>
    <row r="932">
      <c r="A932" s="2" t="n">
        <v>931</v>
      </c>
      <c r="B932" s="2" t="inlineStr">
        <is>
          <t>S6356</t>
        </is>
      </c>
      <c r="C932" s="2" t="inlineStr">
        <is>
          <t>ESPONJA MAQUILLAJE</t>
        </is>
      </c>
      <c r="D932" s="2" t="inlineStr">
        <is>
          <t>Belleza</t>
        </is>
      </c>
      <c r="E932" s="2" t="inlineStr">
        <is>
          <t>Maquillaje y Cosméticos</t>
        </is>
      </c>
      <c r="F932" s="2" t="inlineStr">
        <is>
          <t>Esponja para Maquillaje</t>
        </is>
      </c>
      <c r="G932" s="3" t="n">
        <v>3.7</v>
      </c>
      <c r="H932" s="4" t="n">
        <v>1</v>
      </c>
      <c r="I932" s="2" t="n">
        <v>1</v>
      </c>
      <c r="J932" s="5" t="n">
        <v>46090</v>
      </c>
      <c r="K932" s="3" t="n">
        <v>3.7</v>
      </c>
      <c r="L932" s="6" t="inlineStr"/>
      <c r="M932" s="7">
        <f>IF(L932&gt;0,(K932-L932)/K932*100,"")</f>
        <v/>
      </c>
    </row>
    <row r="933">
      <c r="A933" t="n">
        <v>932</v>
      </c>
      <c r="B933" t="inlineStr">
        <is>
          <t>ESC-15</t>
        </is>
      </c>
      <c r="C933" t="inlineStr">
        <is>
          <t>BLOCK ALPHA AMARILLO</t>
        </is>
      </c>
      <c r="D933" t="inlineStr">
        <is>
          <t>Librería y Oficina</t>
        </is>
      </c>
      <c r="E933" t="inlineStr">
        <is>
          <t>Útiles Escolares</t>
        </is>
      </c>
      <c r="F933" t="inlineStr">
        <is>
          <t>Cuadernos y Blocks</t>
        </is>
      </c>
      <c r="G933" s="8" t="n">
        <v>3.5</v>
      </c>
      <c r="H933" s="9" t="n">
        <v>1</v>
      </c>
      <c r="I933" t="n">
        <v>1</v>
      </c>
      <c r="J933" s="10" t="n">
        <v>46094</v>
      </c>
      <c r="K933" s="8" t="n">
        <v>3.5</v>
      </c>
      <c r="L933" s="6" t="inlineStr"/>
      <c r="M933" s="7">
        <f>IF(L933&gt;0,(K933-L933)/K933*100,"")</f>
        <v/>
      </c>
    </row>
    <row r="934">
      <c r="A934" s="2" t="n">
        <v>933</v>
      </c>
      <c r="B934" s="2" t="inlineStr">
        <is>
          <t>7754</t>
        </is>
      </c>
      <c r="C934" s="2" t="inlineStr">
        <is>
          <t>BOLSA REGALO</t>
        </is>
      </c>
      <c r="D934" s="2" t="inlineStr">
        <is>
          <t>Temporada y Celebraciones</t>
        </is>
      </c>
      <c r="E934" s="2" t="inlineStr">
        <is>
          <t>Regalos y Novedades</t>
        </is>
      </c>
      <c r="F934" s="2" t="inlineStr">
        <is>
          <t>Bolsas y Cajas de Regalo</t>
        </is>
      </c>
      <c r="G934" s="3" t="n">
        <v>3.5</v>
      </c>
      <c r="H934" s="4" t="n">
        <v>1</v>
      </c>
      <c r="I934" s="2" t="n">
        <v>1</v>
      </c>
      <c r="J934" s="5" t="n">
        <v>46089</v>
      </c>
      <c r="K934" s="3" t="n">
        <v>3.5</v>
      </c>
      <c r="L934" s="6" t="inlineStr"/>
      <c r="M934" s="7">
        <f>IF(L934&gt;0,(K934-L934)/K934*100,"")</f>
        <v/>
      </c>
    </row>
    <row r="935">
      <c r="A935" t="n">
        <v>934</v>
      </c>
      <c r="B935" t="inlineStr">
        <is>
          <t>PL-20</t>
        </is>
      </c>
      <c r="C935" t="inlineStr">
        <is>
          <t>TAPER MISTURA MENÚ 1K JUNIOR (RECTANGULAR)</t>
        </is>
      </c>
      <c r="D935" t="inlineStr">
        <is>
          <t>Hogar y Decoración</t>
        </is>
      </c>
      <c r="E935" t="inlineStr">
        <is>
          <t>Menaje de Cocina</t>
        </is>
      </c>
      <c r="F935" t="inlineStr">
        <is>
          <t>Tapers y Contenedores</t>
        </is>
      </c>
      <c r="G935" s="8" t="n">
        <v>3</v>
      </c>
      <c r="H935" s="9" t="n">
        <v>2</v>
      </c>
      <c r="I935" t="n">
        <v>2</v>
      </c>
      <c r="J935" s="10" t="n">
        <v>46090</v>
      </c>
      <c r="K935" s="8" t="n">
        <v>1.5</v>
      </c>
      <c r="L935" s="6" t="inlineStr"/>
      <c r="M935" s="7">
        <f>IF(L935&gt;0,(K935-L935)/K935*100,"")</f>
        <v/>
      </c>
    </row>
    <row r="936">
      <c r="A936" s="2" t="n">
        <v>935</v>
      </c>
      <c r="B936" s="2" t="inlineStr">
        <is>
          <t>PL-19</t>
        </is>
      </c>
      <c r="C936" s="2" t="inlineStr">
        <is>
          <t>TAPER MISTURA MENÚ 1K CUADRADO TRANSP.</t>
        </is>
      </c>
      <c r="D936" s="2" t="inlineStr">
        <is>
          <t>Hogar y Decoración</t>
        </is>
      </c>
      <c r="E936" s="2" t="inlineStr">
        <is>
          <t>Menaje de Cocina</t>
        </is>
      </c>
      <c r="F936" s="2" t="inlineStr">
        <is>
          <t>Tapers y Contenedores</t>
        </is>
      </c>
      <c r="G936" s="3" t="n">
        <v>3</v>
      </c>
      <c r="H936" s="4" t="n">
        <v>2</v>
      </c>
      <c r="I936" s="2" t="n">
        <v>2</v>
      </c>
      <c r="J936" s="5" t="n">
        <v>46096</v>
      </c>
      <c r="K936" s="3" t="n">
        <v>1.5</v>
      </c>
      <c r="L936" s="6" t="inlineStr"/>
      <c r="M936" s="7">
        <f>IF(L936&gt;0,(K936-L936)/K936*100,"")</f>
        <v/>
      </c>
    </row>
    <row r="937">
      <c r="A937" t="n">
        <v>936</v>
      </c>
      <c r="B937" t="inlineStr">
        <is>
          <t>8711</t>
        </is>
      </c>
      <c r="C937" t="inlineStr">
        <is>
          <t>JGT POLLO MASCOTA</t>
        </is>
      </c>
      <c r="D937" t="inlineStr">
        <is>
          <t>Mascotas</t>
        </is>
      </c>
      <c r="E937" t="inlineStr">
        <is>
          <t>Accesorios para Mascotas</t>
        </is>
      </c>
      <c r="F937" t="inlineStr">
        <is>
          <t>Accesorios y Juguetes para Mascotas</t>
        </is>
      </c>
      <c r="G937" s="8" t="n">
        <v>2.9</v>
      </c>
      <c r="H937" s="9" t="n">
        <v>1</v>
      </c>
      <c r="I937" t="n">
        <v>1</v>
      </c>
      <c r="J937" s="10" t="n">
        <v>46090</v>
      </c>
      <c r="K937" s="8" t="n">
        <v>2.9</v>
      </c>
      <c r="L937" s="6" t="inlineStr"/>
      <c r="M937" s="7">
        <f>IF(L937&gt;0,(K937-L937)/K937*100,"")</f>
        <v/>
      </c>
    </row>
    <row r="938">
      <c r="A938" s="2" t="n">
        <v>937</v>
      </c>
      <c r="B938" s="2" t="inlineStr">
        <is>
          <t>1000000054967</t>
        </is>
      </c>
      <c r="C938" s="2" t="inlineStr">
        <is>
          <t>Apolo 2x2 80 HJ</t>
        </is>
      </c>
      <c r="D938" s="2" t="inlineStr">
        <is>
          <t>Librería y Oficina</t>
        </is>
      </c>
      <c r="E938" s="2" t="inlineStr">
        <is>
          <t>Útiles Escolares</t>
        </is>
      </c>
      <c r="F938" s="2" t="inlineStr">
        <is>
          <t>Cuadernos y Blocks</t>
        </is>
      </c>
      <c r="G938" s="3" t="n">
        <v>2.9</v>
      </c>
      <c r="H938" s="4" t="n">
        <v>1</v>
      </c>
      <c r="I938" s="2" t="n">
        <v>1</v>
      </c>
      <c r="J938" s="5" t="n">
        <v>46126</v>
      </c>
      <c r="K938" s="3" t="n">
        <v>2.9</v>
      </c>
      <c r="L938" s="6" t="inlineStr"/>
      <c r="M938" s="7">
        <f>IF(L938&gt;0,(K938-L938)/K938*100,"")</f>
        <v/>
      </c>
    </row>
    <row r="939">
      <c r="A939" t="n">
        <v>938</v>
      </c>
      <c r="B939" t="inlineStr">
        <is>
          <t>17053</t>
        </is>
      </c>
      <c r="C939" t="inlineStr">
        <is>
          <t>SET PERCHERON X1</t>
        </is>
      </c>
      <c r="D939" t="inlineStr">
        <is>
          <t>Hogar y Decoración</t>
        </is>
      </c>
      <c r="E939" t="inlineStr">
        <is>
          <t>Organización del Hogar</t>
        </is>
      </c>
      <c r="F939" t="inlineStr">
        <is>
          <t>Percheros y Colgadores</t>
        </is>
      </c>
      <c r="G939" s="8" t="n">
        <v>2.6</v>
      </c>
      <c r="H939" s="9" t="n">
        <v>2</v>
      </c>
      <c r="I939" t="n">
        <v>2</v>
      </c>
      <c r="J939" s="10" t="n">
        <v>46097</v>
      </c>
      <c r="K939" s="8" t="n">
        <v>1.3</v>
      </c>
      <c r="L939" s="6" t="inlineStr"/>
      <c r="M939" s="7">
        <f>IF(L939&gt;0,(K939-L939)/K939*100,"")</f>
        <v/>
      </c>
    </row>
    <row r="940">
      <c r="A940" s="2" t="n">
        <v>939</v>
      </c>
      <c r="B940" s="2" t="inlineStr">
        <is>
          <t>ARC-C4</t>
        </is>
      </c>
      <c r="C940" s="2" t="inlineStr">
        <is>
          <t>CUMPLEAÑOS BANNER BANDERIN</t>
        </is>
      </c>
      <c r="D940" s="2" t="inlineStr">
        <is>
          <t>Fiestas y Cumpleaños</t>
        </is>
      </c>
      <c r="E940" s="2" t="inlineStr">
        <is>
          <t>Cumpleaños</t>
        </is>
      </c>
      <c r="F940" s="2" t="inlineStr">
        <is>
          <t>Artículos Descartables de Fiesta</t>
        </is>
      </c>
      <c r="G940" s="3" t="n">
        <v>2.5</v>
      </c>
      <c r="H940" s="4" t="n">
        <v>1</v>
      </c>
      <c r="I940" s="2" t="n">
        <v>1</v>
      </c>
      <c r="J940" s="5" t="n">
        <v>46090</v>
      </c>
      <c r="K940" s="3" t="n">
        <v>2.5</v>
      </c>
      <c r="L940" s="6" t="inlineStr"/>
      <c r="M940" s="7">
        <f>IF(L940&gt;0,(K940-L940)/K940*100,"")</f>
        <v/>
      </c>
    </row>
    <row r="941">
      <c r="A941" t="n">
        <v>940</v>
      </c>
      <c r="B941" t="inlineStr">
        <is>
          <t>75961067468257</t>
        </is>
      </c>
      <c r="C941" t="inlineStr">
        <is>
          <t>Gomitas Trululu Surtido Novedades 24x80g</t>
        </is>
      </c>
      <c r="D941" t="inlineStr">
        <is>
          <t>Abarrotes</t>
        </is>
      </c>
      <c r="E941" t="inlineStr">
        <is>
          <t>Dulces y Chocolates</t>
        </is>
      </c>
      <c r="F941" t="inlineStr">
        <is>
          <t>Gomitas</t>
        </is>
      </c>
      <c r="G941" s="8" t="n">
        <v>2.5</v>
      </c>
      <c r="H941" s="9" t="n">
        <v>1</v>
      </c>
      <c r="I941" t="n">
        <v>1</v>
      </c>
      <c r="J941" s="10" t="n">
        <v>46105</v>
      </c>
      <c r="K941" s="8" t="n">
        <v>2.5</v>
      </c>
      <c r="L941" s="6" t="inlineStr"/>
      <c r="M941" s="7">
        <f>IF(L941&gt;0,(K941-L941)/K941*100,"")</f>
        <v/>
      </c>
    </row>
    <row r="942">
      <c r="A942" s="2" t="n">
        <v>941</v>
      </c>
      <c r="B942" s="2" t="inlineStr">
        <is>
          <t>CC-808</t>
        </is>
      </c>
      <c r="C942" s="2" t="inlineStr">
        <is>
          <t>Pulverizador</t>
        </is>
      </c>
      <c r="D942" s="2" t="inlineStr">
        <is>
          <t>Mejoramiento del Hogar</t>
        </is>
      </c>
      <c r="E942" s="2" t="inlineStr">
        <is>
          <t>Jardín</t>
        </is>
      </c>
      <c r="F942" s="2" t="inlineStr">
        <is>
          <t>Atomizadores y Pulverizadores</t>
        </is>
      </c>
      <c r="G942" s="3" t="n">
        <v>2.2</v>
      </c>
      <c r="H942" s="4" t="n">
        <v>1</v>
      </c>
      <c r="I942" s="2" t="n">
        <v>1</v>
      </c>
      <c r="J942" s="5" t="n">
        <v>46097</v>
      </c>
      <c r="K942" s="3" t="n">
        <v>2.2</v>
      </c>
      <c r="L942" s="6" t="inlineStr"/>
      <c r="M942" s="7">
        <f>IF(L942&gt;0,(K942-L942)/K942*100,"")</f>
        <v/>
      </c>
    </row>
    <row r="943">
      <c r="A943" t="n">
        <v>942</v>
      </c>
      <c r="B943" t="inlineStr">
        <is>
          <t>74931687524049</t>
        </is>
      </c>
      <c r="C943" t="inlineStr">
        <is>
          <t>LÁPIZ GRAY P/OJOS ITALIA 24 HORAS</t>
        </is>
      </c>
      <c r="D943" t="inlineStr">
        <is>
          <t>Belleza</t>
        </is>
      </c>
      <c r="E943" t="inlineStr">
        <is>
          <t>Maquillaje y Cosméticos</t>
        </is>
      </c>
      <c r="F943" t="inlineStr">
        <is>
          <t>Delineadores</t>
        </is>
      </c>
      <c r="G943" s="8" t="n">
        <v>2.2</v>
      </c>
      <c r="H943" s="9" t="n">
        <v>1</v>
      </c>
      <c r="I943" t="n">
        <v>1</v>
      </c>
      <c r="J943" s="10" t="n">
        <v>46099</v>
      </c>
      <c r="K943" s="8" t="n">
        <v>2.2</v>
      </c>
      <c r="L943" s="6" t="inlineStr"/>
      <c r="M943" s="7">
        <f>IF(L943&gt;0,(K943-L943)/K943*100,"")</f>
        <v/>
      </c>
    </row>
    <row r="944">
      <c r="A944" s="2" t="n">
        <v>943</v>
      </c>
      <c r="B944" s="2" t="inlineStr">
        <is>
          <t>316775</t>
        </is>
      </c>
      <c r="C944" s="2" t="inlineStr">
        <is>
          <t>CARTUL NEGRA YIMI ECO 50X65 (PQTX100)</t>
        </is>
      </c>
      <c r="D944" s="2" t="inlineStr">
        <is>
          <t>Librería y Oficina</t>
        </is>
      </c>
      <c r="E944" s="2" t="inlineStr">
        <is>
          <t>Útiles Escolares</t>
        </is>
      </c>
      <c r="F944" s="2" t="inlineStr">
        <is>
          <t>Papeles y Cartulinas</t>
        </is>
      </c>
      <c r="G944" s="3" t="n">
        <v>2.1</v>
      </c>
      <c r="H944" s="4" t="n">
        <v>3</v>
      </c>
      <c r="I944" s="2" t="n">
        <v>1</v>
      </c>
      <c r="J944" s="5" t="n">
        <v>46108</v>
      </c>
      <c r="K944" s="3" t="n">
        <v>0.7</v>
      </c>
      <c r="L944" s="6" t="inlineStr"/>
      <c r="M944" s="7">
        <f>IF(L944&gt;0,(K944-L944)/K944*100,"")</f>
        <v/>
      </c>
    </row>
    <row r="945">
      <c r="A945" t="n">
        <v>944</v>
      </c>
      <c r="B945" t="inlineStr">
        <is>
          <t>PL-21</t>
        </is>
      </c>
      <c r="C945" t="inlineStr">
        <is>
          <t>TAZA MISTURA EJECUTIVA</t>
        </is>
      </c>
      <c r="D945" t="inlineStr">
        <is>
          <t>Hogar y Decoración</t>
        </is>
      </c>
      <c r="E945" t="inlineStr">
        <is>
          <t>Menaje de Comedor</t>
        </is>
      </c>
      <c r="F945" t="inlineStr">
        <is>
          <t>Tazas y Mugs</t>
        </is>
      </c>
      <c r="G945" s="8" t="n">
        <v>1.9</v>
      </c>
      <c r="H945" s="9" t="n">
        <v>1</v>
      </c>
      <c r="I945" t="n">
        <v>1</v>
      </c>
      <c r="J945" s="10" t="n">
        <v>46097</v>
      </c>
      <c r="K945" s="8" t="n">
        <v>1.9</v>
      </c>
      <c r="L945" s="6" t="inlineStr"/>
      <c r="M945" s="7">
        <f>IF(L945&gt;0,(K945-L945)/K945*100,"")</f>
        <v/>
      </c>
    </row>
    <row r="946">
      <c r="A946" s="2" t="n">
        <v>945</v>
      </c>
      <c r="B946" s="2" t="inlineStr">
        <is>
          <t>EP-2235</t>
        </is>
      </c>
      <c r="C946" s="2" t="inlineStr">
        <is>
          <t>GANCHO CABELLO X1 PASTEL</t>
        </is>
      </c>
      <c r="D946" s="2" t="inlineStr">
        <is>
          <t>Accesorios</t>
        </is>
      </c>
      <c r="E946" s="2" t="inlineStr">
        <is>
          <t>Accesorios para Cabello</t>
        </is>
      </c>
      <c r="F946" s="2" t="inlineStr">
        <is>
          <t>Colets y Ganchos</t>
        </is>
      </c>
      <c r="G946" s="3" t="n">
        <v>1.9</v>
      </c>
      <c r="H946" s="4" t="n">
        <v>1</v>
      </c>
      <c r="I946" s="2" t="n">
        <v>1</v>
      </c>
      <c r="J946" s="5" t="n">
        <v>46093</v>
      </c>
      <c r="K946" s="3" t="n">
        <v>1.9</v>
      </c>
      <c r="L946" s="6" t="inlineStr"/>
      <c r="M946" s="7">
        <f>IF(L946&gt;0,(K946-L946)/K946*100,"")</f>
        <v/>
      </c>
    </row>
    <row r="947">
      <c r="A947" t="n">
        <v>946</v>
      </c>
      <c r="B947" t="inlineStr">
        <is>
          <t>08DX-3260</t>
        </is>
      </c>
      <c r="C947" t="inlineStr">
        <is>
          <t>FOCO 5W LED</t>
        </is>
      </c>
      <c r="D947" t="inlineStr">
        <is>
          <t>Mejoramiento del Hogar</t>
        </is>
      </c>
      <c r="E947" t="inlineStr">
        <is>
          <t>Iluminación</t>
        </is>
      </c>
      <c r="F947" t="inlineStr">
        <is>
          <t>Luces y Focos</t>
        </is>
      </c>
      <c r="G947" s="8" t="n">
        <v>1.9</v>
      </c>
      <c r="H947" s="9" t="n">
        <v>1</v>
      </c>
      <c r="I947" t="n">
        <v>1</v>
      </c>
      <c r="J947" s="10" t="n">
        <v>46118</v>
      </c>
      <c r="K947" s="8" t="n">
        <v>1.9</v>
      </c>
      <c r="L947" s="6" t="inlineStr"/>
      <c r="M947" s="7">
        <f>IF(L947&gt;0,(K947-L947)/K947*100,"")</f>
        <v/>
      </c>
    </row>
    <row r="948">
      <c r="A948" s="2" t="n">
        <v>947</v>
      </c>
      <c r="B948" s="2" t="inlineStr">
        <is>
          <t>HF1005</t>
        </is>
      </c>
      <c r="C948" s="2" t="inlineStr">
        <is>
          <t>INFLADOR FLOBO</t>
        </is>
      </c>
      <c r="D948" s="2" t="inlineStr">
        <is>
          <t>Fiestas y Cumpleaños</t>
        </is>
      </c>
      <c r="E948" s="2" t="inlineStr">
        <is>
          <t>Cumpleaños</t>
        </is>
      </c>
      <c r="F948" s="2" t="inlineStr">
        <is>
          <t>Globos e Infladores</t>
        </is>
      </c>
      <c r="G948" s="3" t="n">
        <v>1.81</v>
      </c>
      <c r="H948" s="4" t="n">
        <v>1</v>
      </c>
      <c r="I948" s="2" t="n">
        <v>1</v>
      </c>
      <c r="J948" s="5" t="n">
        <v>46148</v>
      </c>
      <c r="K948" s="3" t="n">
        <v>1.81</v>
      </c>
      <c r="L948" s="6" t="inlineStr"/>
      <c r="M948" s="7">
        <f>IF(L948&gt;0,(K948-L948)/K948*100,"")</f>
        <v/>
      </c>
    </row>
    <row r="949">
      <c r="A949" t="n">
        <v>948</v>
      </c>
      <c r="B949" t="inlineStr">
        <is>
          <t>A-896#5</t>
        </is>
      </c>
      <c r="C949" t="inlineStr">
        <is>
          <t>TOALLA DE MANO NAVIDAD</t>
        </is>
      </c>
      <c r="D949" t="inlineStr">
        <is>
          <t>Temporada y Celebraciones</t>
        </is>
      </c>
      <c r="E949" t="inlineStr">
        <is>
          <t>Navidad</t>
        </is>
      </c>
      <c r="F949" t="inlineStr">
        <is>
          <t>Decoración Navideña</t>
        </is>
      </c>
      <c r="G949" s="8" t="n">
        <v>1.5</v>
      </c>
      <c r="H949" s="9" t="n">
        <v>1</v>
      </c>
      <c r="I949" t="n">
        <v>1</v>
      </c>
      <c r="J949" s="10" t="n">
        <v>46090</v>
      </c>
      <c r="K949" s="8" t="n">
        <v>1.5</v>
      </c>
      <c r="L949" s="6" t="inlineStr"/>
      <c r="M949" s="7">
        <f>IF(L949&gt;0,(K949-L949)/K949*100,"")</f>
        <v/>
      </c>
    </row>
    <row r="950">
      <c r="A950" s="2" t="n">
        <v>949</v>
      </c>
      <c r="B950" s="2" t="inlineStr">
        <is>
          <t>11114-3</t>
        </is>
      </c>
      <c r="C950" s="2" t="inlineStr">
        <is>
          <t>CARTUCHERA FLORES</t>
        </is>
      </c>
      <c r="D950" s="2" t="inlineStr">
        <is>
          <t>Librería y Oficina</t>
        </is>
      </c>
      <c r="E950" s="2" t="inlineStr">
        <is>
          <t>Mochilas y Cartucheras</t>
        </is>
      </c>
      <c r="F950" s="2" t="inlineStr">
        <is>
          <t>Cartucheras</t>
        </is>
      </c>
      <c r="G950" s="3" t="n">
        <v>1.5</v>
      </c>
      <c r="H950" s="4" t="n">
        <v>1</v>
      </c>
      <c r="I950" s="2" t="n">
        <v>1</v>
      </c>
      <c r="J950" s="5" t="n">
        <v>46115</v>
      </c>
      <c r="K950" s="3" t="n">
        <v>1.5</v>
      </c>
      <c r="L950" s="6" t="inlineStr"/>
      <c r="M950" s="7">
        <f>IF(L950&gt;0,(K950-L950)/K950*100,"")</f>
        <v/>
      </c>
    </row>
    <row r="951">
      <c r="A951" t="n">
        <v>950</v>
      </c>
      <c r="B951" t="inlineStr">
        <is>
          <t>PERCH-01</t>
        </is>
      </c>
      <c r="C951" t="inlineStr">
        <is>
          <t>SET PERCHERO</t>
        </is>
      </c>
      <c r="D951" t="inlineStr">
        <is>
          <t>Hogar y Decoración</t>
        </is>
      </c>
      <c r="E951" t="inlineStr">
        <is>
          <t>Organización del Hogar</t>
        </is>
      </c>
      <c r="F951" t="inlineStr">
        <is>
          <t>Percheros y Colgadores</t>
        </is>
      </c>
      <c r="G951" s="8" t="n">
        <v>1.2</v>
      </c>
      <c r="H951" s="9" t="n">
        <v>1</v>
      </c>
      <c r="I951" t="n">
        <v>1</v>
      </c>
      <c r="J951" s="10" t="n">
        <v>46097</v>
      </c>
      <c r="K951" s="8" t="n">
        <v>1.2</v>
      </c>
      <c r="L951" s="6" t="inlineStr"/>
      <c r="M951" s="7">
        <f>IF(L951&gt;0,(K951-L951)/K951*100,"")</f>
        <v/>
      </c>
    </row>
    <row r="952">
      <c r="A952" s="2" t="n">
        <v>951</v>
      </c>
      <c r="B952" s="2" t="inlineStr">
        <is>
          <t>P0132</t>
        </is>
      </c>
      <c r="C952" s="2" t="inlineStr">
        <is>
          <t>TIJERA ROMA</t>
        </is>
      </c>
      <c r="D952" s="2" t="inlineStr">
        <is>
          <t>Librería y Oficina</t>
        </is>
      </c>
      <c r="E952" s="2" t="inlineStr">
        <is>
          <t>Útiles Escolares</t>
        </is>
      </c>
      <c r="F952" s="2" t="inlineStr">
        <is>
          <t>Tijeras y Reglas</t>
        </is>
      </c>
      <c r="G952" s="3" t="n">
        <v>1</v>
      </c>
      <c r="H952" s="4" t="n">
        <v>1</v>
      </c>
      <c r="I952" s="2" t="n">
        <v>1</v>
      </c>
      <c r="J952" s="5" t="n">
        <v>46105</v>
      </c>
      <c r="K952" s="3" t="n">
        <v>1</v>
      </c>
      <c r="L952" s="6" t="inlineStr"/>
      <c r="M952" s="7">
        <f>IF(L952&gt;0,(K952-L952)/K952*100,"")</f>
        <v/>
      </c>
    </row>
    <row r="953">
      <c r="A953" t="n">
        <v>952</v>
      </c>
      <c r="B953" t="inlineStr">
        <is>
          <t>75115657898027</t>
        </is>
      </c>
      <c r="C953" t="inlineStr">
        <is>
          <t>ECO REPELENTE DEET 7.5% SHACHET</t>
        </is>
      </c>
      <c r="D953" t="inlineStr">
        <is>
          <t>Cuidado Personal y Salud</t>
        </is>
      </c>
      <c r="E953" t="inlineStr">
        <is>
          <t>Salud</t>
        </is>
      </c>
      <c r="F953" t="inlineStr">
        <is>
          <t>Repelentes</t>
        </is>
      </c>
      <c r="G953" s="8" t="n">
        <v>0.9</v>
      </c>
      <c r="H953" s="9" t="n">
        <v>1</v>
      </c>
      <c r="I953" t="n">
        <v>1</v>
      </c>
      <c r="J953" s="10" t="n">
        <v>46150</v>
      </c>
      <c r="K953" s="8" t="n">
        <v>0.9</v>
      </c>
      <c r="L953" s="6" t="inlineStr"/>
      <c r="M953" s="7">
        <f>IF(L953&gt;0,(K953-L953)/K953*100,"")</f>
        <v/>
      </c>
    </row>
    <row r="954">
      <c r="A954" s="2" t="n">
        <v>953</v>
      </c>
      <c r="B954" s="2" t="inlineStr">
        <is>
          <t>P0083</t>
        </is>
      </c>
      <c r="C954" s="2" t="inlineStr">
        <is>
          <t>CAJITA CHINCHE COLORES X 50</t>
        </is>
      </c>
      <c r="D954" s="2" t="inlineStr">
        <is>
          <t>Librería y Oficina</t>
        </is>
      </c>
      <c r="E954" s="2" t="inlineStr">
        <is>
          <t>Útiles Escolares</t>
        </is>
      </c>
      <c r="F954" s="2" t="inlineStr">
        <is>
          <t>Colores y Crayolas</t>
        </is>
      </c>
      <c r="G954" s="3" t="n">
        <v>0.63</v>
      </c>
      <c r="H954" s="4" t="n">
        <v>1</v>
      </c>
      <c r="I954" s="2" t="n">
        <v>1</v>
      </c>
      <c r="J954" s="5" t="n">
        <v>46098</v>
      </c>
      <c r="K954" s="3" t="n">
        <v>0.63</v>
      </c>
      <c r="L954" s="6" t="inlineStr"/>
      <c r="M954" s="7">
        <f>IF(L954&gt;0,(K954-L954)/K954*100,"")</f>
        <v/>
      </c>
    </row>
    <row r="955">
      <c r="A955" t="n">
        <v>954</v>
      </c>
      <c r="B955" t="inlineStr">
        <is>
          <t>P0131</t>
        </is>
      </c>
      <c r="C955" t="inlineStr">
        <is>
          <t>BORRADOR BLANCO PEQUEÑO</t>
        </is>
      </c>
      <c r="D955" t="inlineStr">
        <is>
          <t>Librería y Oficina</t>
        </is>
      </c>
      <c r="E955" t="inlineStr">
        <is>
          <t>Útiles Escolares</t>
        </is>
      </c>
      <c r="F955" t="inlineStr">
        <is>
          <t>Borradores y Tajadores</t>
        </is>
      </c>
      <c r="G955" s="8" t="n">
        <v>0.5</v>
      </c>
      <c r="H955" s="9" t="n">
        <v>1</v>
      </c>
      <c r="I955" t="n">
        <v>1</v>
      </c>
      <c r="J955" s="10" t="n">
        <v>46099</v>
      </c>
      <c r="K955" s="8" t="n">
        <v>0.5</v>
      </c>
      <c r="L955" s="6" t="inlineStr"/>
      <c r="M955" s="7">
        <f>IF(L955&gt;0,(K955-L955)/K955*100,"")</f>
        <v/>
      </c>
    </row>
    <row r="956">
      <c r="A956" s="2" t="n">
        <v>955</v>
      </c>
      <c r="B956" s="2" t="inlineStr">
        <is>
          <t>PRUEBA2</t>
        </is>
      </c>
      <c r="C956" s="2" t="inlineStr">
        <is>
          <t>PRUEBA 2</t>
        </is>
      </c>
      <c r="D956" s="2" t="inlineStr">
        <is>
          <t>Packs</t>
        </is>
      </c>
      <c r="E956" s="2" t="inlineStr">
        <is>
          <t>Artículos Multiuso del Hogar</t>
        </is>
      </c>
      <c r="F956" s="2" t="inlineStr">
        <is>
          <t>Artículos Variados</t>
        </is>
      </c>
      <c r="G956" s="3" t="n">
        <v>0</v>
      </c>
      <c r="H956" s="4" t="n">
        <v>110</v>
      </c>
      <c r="I956" s="2" t="n">
        <v>3</v>
      </c>
      <c r="J956" s="5" t="n">
        <v>46113</v>
      </c>
      <c r="K956" s="3" t="n">
        <v>0</v>
      </c>
      <c r="L956" s="6" t="inlineStr"/>
      <c r="M956" s="7">
        <f>IF(L956&gt;0,(K956-L956)/K956*100,"")</f>
        <v/>
      </c>
    </row>
  </sheetData>
  <autoFilter ref="A1:M9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2026-06-06T06:20:20Z</dcterms:created>
  <dcterms:modified xsi:type="dcterms:W3CDTF">2026-06-06T06:20:20Z</dcterms:modified>
</cp:coreProperties>
</file>